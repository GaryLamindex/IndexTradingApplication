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dynamodb_related\pythonProject\engine\streaming_engine\asset\stream_1\"/>
    </mc:Choice>
  </mc:AlternateContent>
  <xr:revisionPtr revIDLastSave="0" documentId="13_ncr:1_{AD26F9FA-F9B2-436E-8B07-83A96CBFBAA4}" xr6:coauthVersionLast="47" xr6:coauthVersionMax="47" xr10:uidLastSave="{00000000-0000-0000-0000-000000000000}"/>
  <bookViews>
    <workbookView xWindow="-103" yWindow="-103" windowWidth="33120" windowHeight="18120" xr2:uid="{4185C9B2-E90B-42AB-9274-D290DCA221FD}"/>
  </bookViews>
  <sheets>
    <sheet name="real_time" sheetId="4" r:id="rId1"/>
  </sheets>
  <definedNames>
    <definedName name="ExternalData_1" localSheetId="0" hidden="1">real_time!$A$1:$AB$26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4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CA5C9C-70A0-4E0B-8F71-D865F982A1E9}" keepAlive="1" interval="1" name="Query - 0 038_rebalance_margin_0 01_maintain_margin_0 04_max_drawdown_ratio_5 0_purchase" description="Connection to the '0 038_rebalance_margin_0 01_maintain_margin_0 04_max_drawdown_ratio_5 0_purchase' query in the workbook." type="5" refreshedVersion="7" background="1" saveData="1">
    <dbPr connection="Provider=Microsoft.Mashup.OleDb.1;Data Source=$Workbook$;Location=&quot;0 038_rebalance_margin_0 01_maintain_margin_0 04_max_drawdown_ratio_5 0_purchase&quot;;Extended Properties=&quot;&quot;" command="SELECT * FROM [0 038_rebalance_margin_0 01_maintain_margin_0 04_max_drawdown_ratio_5 0_purchase]"/>
  </connection>
  <connection id="2" xr16:uid="{9736F262-BEA2-4421-AAE2-63F085367718}" keepAlive="1" interval="1" name="Query - real_time" description="Connection to the 'real_time' query in the workbook." type="5" refreshedVersion="7" saveData="1">
    <dbPr connection="Provider=Microsoft.Mashup.OleDb.1;Data Source=$Workbook$;Location=real_time;Extended Properties=&quot;&quot;" command="SELECT * FROM [real_time]"/>
  </connection>
</connections>
</file>

<file path=xl/sharedStrings.xml><?xml version="1.0" encoding="utf-8"?>
<sst xmlns="http://schemas.openxmlformats.org/spreadsheetml/2006/main" count="129" uniqueCount="31">
  <si>
    <t>Date</t>
  </si>
  <si>
    <t>Time</t>
  </si>
  <si>
    <t>timestamp</t>
  </si>
  <si>
    <t>TotalCashValue</t>
  </si>
  <si>
    <t>NetDividend</t>
  </si>
  <si>
    <t>NetLiquidation</t>
  </si>
  <si>
    <t>UnrealizedPnL</t>
  </si>
  <si>
    <t>RealizedPnL</t>
  </si>
  <si>
    <t>GrossPositionValue</t>
  </si>
  <si>
    <t>AvailableFunds</t>
  </si>
  <si>
    <t>ExcessLiquidity</t>
  </si>
  <si>
    <t>BuyingPower</t>
  </si>
  <si>
    <t>Leverage</t>
  </si>
  <si>
    <t>EquityWithLoanValue</t>
  </si>
  <si>
    <t>QQQ position</t>
  </si>
  <si>
    <t>QQQ marketPrice</t>
  </si>
  <si>
    <t>QQQ averageCost</t>
  </si>
  <si>
    <t>QQQ marketValue</t>
  </si>
  <si>
    <t>QQQ realizedPNL</t>
  </si>
  <si>
    <t>QQQ unrealizedPNL</t>
  </si>
  <si>
    <t>QQQ initMarginReq</t>
  </si>
  <si>
    <t>QQQ maintMarginReq</t>
  </si>
  <si>
    <t>QQQ costBasis</t>
  </si>
  <si>
    <t>QQQ action</t>
  </si>
  <si>
    <t>QQQ totalQuantity</t>
  </si>
  <si>
    <t>QQQ avgPrice</t>
  </si>
  <si>
    <t>QQQ commission</t>
  </si>
  <si>
    <t>QQQ transaction_amount</t>
  </si>
  <si>
    <t>Buy</t>
  </si>
  <si>
    <t/>
  </si>
  <si>
    <t>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</si>
</sst>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400]h:mm:ss\ AM/PM"/>
  </numFmts>
  <fonts count="3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76" fontId="0" fillId="0" borderId="0" xfId="0" applyNumberFormat="1"/>
    <xf numFmtId="14" fontId="0" fillId="0" borderId="0" xfId="0" applyNumberFormat="1"/>
    <xf numFmtId="22" fontId="2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400]h:mm:ss\ AM/PM"/>
    </dxf>
    <dxf>
      <numFmt numFmtId="19" formatCode="d/m/yyyy"/>
    </dxf>
  </dxfs>
  <tableStyles count="0" defaultTableStyle="TableStyleMedium2" defaultPivotStyle="PivotStyleLight16"/>
  <colors>
    <mruColors>
      <color rgb="FF79768B"/>
      <color rgb="FF6A4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802654908890955E-2"/>
          <c:y val="0.19895079597088375"/>
          <c:w val="0.50217938635473114"/>
          <c:h val="0.65553146246140748"/>
        </c:manualLayout>
      </c:layout>
      <c:lineChart>
        <c:grouping val="standard"/>
        <c:varyColors val="0"/>
        <c:ser>
          <c:idx val="0"/>
          <c:order val="0"/>
          <c:tx>
            <c:v>Net Liquidation versus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real_time!$B:$B</c:f>
              <c:strCache>
                <c:ptCount val="34"/>
                <c:pt idx="0">
                  <c:v>Time</c:v>
                </c:pt>
                <c:pt idx="1">
                  <c:v>20:33:21</c:v>
                </c:pt>
                <c:pt idx="2">
                  <c:v>20:33:21</c:v>
                </c:pt>
                <c:pt idx="3">
                  <c:v>20:33:21</c:v>
                </c:pt>
                <c:pt idx="4">
                  <c:v>20:33:21</c:v>
                </c:pt>
                <c:pt idx="5">
                  <c:v>20:33:21</c:v>
                </c:pt>
                <c:pt idx="6">
                  <c:v>20:33:21</c:v>
                </c:pt>
                <c:pt idx="7">
                  <c:v>20:33:21</c:v>
                </c:pt>
                <c:pt idx="8">
                  <c:v>20:33:21</c:v>
                </c:pt>
                <c:pt idx="9">
                  <c:v>20:33:21</c:v>
                </c:pt>
                <c:pt idx="10">
                  <c:v>20:33:21</c:v>
                </c:pt>
                <c:pt idx="11">
                  <c:v>20:33:21</c:v>
                </c:pt>
                <c:pt idx="12">
                  <c:v>20:33:21</c:v>
                </c:pt>
                <c:pt idx="13">
                  <c:v>20:33:21</c:v>
                </c:pt>
                <c:pt idx="14">
                  <c:v>20:33:21</c:v>
                </c:pt>
                <c:pt idx="15">
                  <c:v>20:33:21</c:v>
                </c:pt>
                <c:pt idx="16">
                  <c:v>20:33:21</c:v>
                </c:pt>
                <c:pt idx="17">
                  <c:v>20:33:21</c:v>
                </c:pt>
                <c:pt idx="18">
                  <c:v>20:33:22</c:v>
                </c:pt>
                <c:pt idx="19">
                  <c:v>20:33:22</c:v>
                </c:pt>
                <c:pt idx="20">
                  <c:v>20:33:22</c:v>
                </c:pt>
                <c:pt idx="21">
                  <c:v>20:33:22</c:v>
                </c:pt>
                <c:pt idx="22">
                  <c:v>20:33:22</c:v>
                </c:pt>
                <c:pt idx="23">
                  <c:v>20:33:22</c:v>
                </c:pt>
                <c:pt idx="24">
                  <c:v>20:33:22</c:v>
                </c:pt>
                <c:pt idx="25">
                  <c:v>20:33:22</c:v>
                </c:pt>
                <c:pt idx="33">
                  <c:v>31/1/2022 17:33</c:v>
                </c:pt>
              </c:strCache>
            </c:strRef>
          </c:cat>
          <c:val>
            <c:numRef>
              <c:f>real_time!$F$2:$F$26</c:f>
              <c:numCache>
                <c:formatCode>General</c:formatCode>
                <c:ptCount val="25"/>
                <c:pt idx="0">
                  <c:v>1000000</c:v>
                </c:pt>
                <c:pt idx="1">
                  <c:v>1000000</c:v>
                </c:pt>
                <c:pt idx="2">
                  <c:v>1000000</c:v>
                </c:pt>
                <c:pt idx="3">
                  <c:v>1000000</c:v>
                </c:pt>
                <c:pt idx="4">
                  <c:v>993082.89379999973</c:v>
                </c:pt>
                <c:pt idx="5">
                  <c:v>993082.89379999973</c:v>
                </c:pt>
                <c:pt idx="6">
                  <c:v>993082.89379999973</c:v>
                </c:pt>
                <c:pt idx="7">
                  <c:v>993082.89379999973</c:v>
                </c:pt>
                <c:pt idx="8">
                  <c:v>993082.89379999973</c:v>
                </c:pt>
                <c:pt idx="9">
                  <c:v>993082.89380000066</c:v>
                </c:pt>
                <c:pt idx="10">
                  <c:v>993082.89380000066</c:v>
                </c:pt>
                <c:pt idx="11">
                  <c:v>993082.89380000066</c:v>
                </c:pt>
                <c:pt idx="12">
                  <c:v>993082.89380000066</c:v>
                </c:pt>
                <c:pt idx="13">
                  <c:v>993082.89380000066</c:v>
                </c:pt>
                <c:pt idx="14">
                  <c:v>993082.89380000066</c:v>
                </c:pt>
                <c:pt idx="15">
                  <c:v>993082.89380000066</c:v>
                </c:pt>
                <c:pt idx="16">
                  <c:v>993082.89380000066</c:v>
                </c:pt>
                <c:pt idx="17">
                  <c:v>995000.37880000006</c:v>
                </c:pt>
                <c:pt idx="18">
                  <c:v>994613.39729999937</c:v>
                </c:pt>
                <c:pt idx="19">
                  <c:v>994613.39729999937</c:v>
                </c:pt>
                <c:pt idx="20">
                  <c:v>994613.39729999937</c:v>
                </c:pt>
                <c:pt idx="21">
                  <c:v>994613.39729999937</c:v>
                </c:pt>
                <c:pt idx="22">
                  <c:v>994613.39729999937</c:v>
                </c:pt>
                <c:pt idx="23">
                  <c:v>993420.69840000011</c:v>
                </c:pt>
                <c:pt idx="24">
                  <c:v>993021.98070000019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26-40A1-95A3-6E268036B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578704"/>
        <c:axId val="2010577040"/>
      </c:lineChart>
      <c:catAx>
        <c:axId val="20105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rgbClr val="79768B"/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2010577040"/>
        <c:crossesAt val="4"/>
        <c:auto val="1"/>
        <c:lblAlgn val="ctr"/>
        <c:lblOffset val="100"/>
        <c:noMultiLvlLbl val="0"/>
      </c:catAx>
      <c:valAx>
        <c:axId val="20105770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rgbClr val="79768B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2225" cap="flat" cmpd="sng" algn="ctr">
            <a:solidFill>
              <a:srgbClr val="79768B"/>
            </a:solidFill>
            <a:round/>
          </a:ln>
          <a:effectLst>
            <a:outerShdw blurRad="50800" dist="50800" dir="5400000" sx="5000" sy="5000" algn="ctr" rotWithShape="0">
              <a:srgbClr val="000000">
                <a:alpha val="43137"/>
              </a:srgbClr>
            </a:outerShdw>
          </a:effectLst>
        </c:spPr>
        <c:txPr>
          <a:bodyPr rot="-60000000" spcFirstLastPara="1" vertOverflow="ellipsis" vert="horz" wrap="square" anchor="ctr" anchorCtr="0"/>
          <a:lstStyle/>
          <a:p>
            <a:pPr>
              <a:defRPr sz="600" b="0" i="0" u="none" strike="noStrike" kern="1200" baseline="0">
                <a:solidFill>
                  <a:srgbClr val="79768B"/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2010578704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</c:dispUnitsLbl>
        </c:dispUnits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aseline="0"/>
      </a:pPr>
      <a:endParaRPr lang="zh-HK"/>
    </a:p>
  </c:txPr>
  <c:printSettings>
    <c:headerFooter/>
    <c:pageMargins b="0.75" l="0.7" r="0.7" t="0.75" header="0.3" footer="0.3"/>
    <c:pageSetup orientation="portrait"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1017814</xdr:colOff>
      <xdr:row>6</xdr:row>
      <xdr:rowOff>59871</xdr:rowOff>
    </xdr:from>
    <xdr:to>
      <xdr:col>13</xdr:col>
      <xdr:colOff>269631</xdr:colOff>
      <xdr:row>41</xdr:row>
      <xdr:rowOff>81643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85B9F3-FAE4-453D-A9B9-6FDF9C85E6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0.05735</cdr:x>
      <cdr:y>0.05863</cdr:y>
    </cdr:from>
    <cdr:to>
      <cdr:x>0.6122</cdr:x>
      <cdr:y>0.19938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08E8E87-C885-4C09-AED7-5FBED9AA39AD}"/>
            </a:ext>
          </a:extLst>
        </cdr:cNvPr>
        <cdr:cNvSpPr txBox="1"/>
      </cdr:nvSpPr>
      <cdr:spPr>
        <a:xfrm xmlns:a="http://schemas.openxmlformats.org/drawingml/2006/main">
          <a:off x="434003" y="244176"/>
          <a:ext cx="4199014" cy="5862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HK" sz="2000" b="1">
              <a:solidFill>
                <a:schemeClr val="bg1"/>
              </a:solidFill>
            </a:rPr>
            <a:t>Net Liquidation</a:t>
          </a:r>
          <a:r>
            <a:rPr lang="en-HK" sz="2000" b="1" baseline="0">
              <a:solidFill>
                <a:schemeClr val="bg1"/>
              </a:solidFill>
            </a:rPr>
            <a:t> One Day Change</a:t>
          </a:r>
          <a:endParaRPr lang="en-HK" sz="2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0.62455</cdr:x>
      <cdr:y>0.18655</cdr:y>
    </cdr:from>
    <cdr:to>
      <cdr:x>0.92867</cdr:x>
      <cdr:y>0.8545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73B6F38F-5071-4902-8233-7AE0FE2CD5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001314" y="1199208"/>
          <a:ext cx="3409243" cy="429387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0.47536</cdr:x>
      <cdr:y>0.01573</cdr:y>
    </cdr:from>
    <cdr:to>
      <cdr:x>0.57745</cdr:x>
      <cdr:y>0.18976</cdr:y>
    </cdr:to>
    <cdr:pic>
      <cdr:nvPicPr>
        <cdr:cNvPr id="4" name="Picture 3" descr="Product">
          <a:extLst xmlns:a="http://schemas.openxmlformats.org/drawingml/2006/main">
            <a:ext uri="{FF2B5EF4-FFF2-40B4-BE49-F238E27FC236}">
              <a16:creationId xmlns:a16="http://schemas.microsoft.com/office/drawing/2014/main" id="{06ED3D33-AE7D-4472-97EB-E85A215355D2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59813" y="97085"/>
          <a:ext cx="1086660" cy="1074440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0.84357</cdr:x>
      <cdr:y>0.34963</cdr:y>
    </cdr:from>
    <cdr:to>
      <cdr:x>0.97463</cdr:x>
      <cdr:y>0.40225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0F7ACC-7B37-4D67-841A-901DD1256EA5}"/>
            </a:ext>
          </a:extLst>
        </cdr:cNvPr>
        <cdr:cNvSpPr txBox="1"/>
      </cdr:nvSpPr>
      <cdr:spPr>
        <a:xfrm xmlns:a="http://schemas.openxmlformats.org/drawingml/2006/main">
          <a:off x="6284395" y="1944365"/>
          <a:ext cx="976376" cy="2926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HK" sz="1100"/>
        </a:p>
      </cdr:txBody>
    </cdr:sp>
  </cdr:relSizeAnchor>
  <cdr:relSizeAnchor xmlns:cdr="http://schemas.openxmlformats.org/drawingml/2006/chartDrawing">
    <cdr:from>
      <cdr:x>0.85922</cdr:x>
      <cdr:y>0.38559</cdr:y>
    </cdr:from>
    <cdr:to>
      <cdr:x>0.93682</cdr:x>
      <cdr:y>0.47658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8D971D1C-7E00-4049-8F42-C441DC294C36}"/>
            </a:ext>
          </a:extLst>
        </cdr:cNvPr>
        <cdr:cNvSpPr txBox="1"/>
      </cdr:nvSpPr>
      <cdr:spPr>
        <a:xfrm xmlns:a="http://schemas.openxmlformats.org/drawingml/2006/main">
          <a:off x="7383235" y="2038350"/>
          <a:ext cx="666750" cy="4810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HK" sz="1100"/>
        </a:p>
      </cdr:txBody>
    </cdr:sp>
  </cdr:relSizeAnchor>
  <cdr:relSizeAnchor xmlns:cdr="http://schemas.openxmlformats.org/drawingml/2006/chartDrawing">
    <cdr:from>
      <cdr:x>0.74988</cdr:x>
      <cdr:y>0.03333</cdr:y>
    </cdr:from>
    <cdr:to>
      <cdr:x>0.79089</cdr:x>
      <cdr:y>0.14955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F7A0DB33-153A-4F8E-B668-6717C5EBEB76}"/>
            </a:ext>
          </a:extLst>
        </cdr:cNvPr>
        <cdr:cNvSpPr txBox="1"/>
      </cdr:nvSpPr>
      <cdr:spPr>
        <a:xfrm xmlns:a="http://schemas.openxmlformats.org/drawingml/2006/main">
          <a:off x="6443663" y="176213"/>
          <a:ext cx="352425" cy="6143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HK" sz="1100"/>
        </a:p>
      </cdr:txBody>
    </cdr:sp>
  </cdr:relSizeAnchor>
  <cdr:relSizeAnchor xmlns:cdr="http://schemas.openxmlformats.org/drawingml/2006/chartDrawing">
    <cdr:from>
      <cdr:x>0.84136</cdr:x>
      <cdr:y>0.27938</cdr:y>
    </cdr:from>
    <cdr:to>
      <cdr:x>0.98606</cdr:x>
      <cdr:y>0.35502</cdr:y>
    </cdr:to>
    <cdr:sp macro="" textlink="#REF!">
      <cdr:nvSpPr>
        <cdr:cNvPr id="9" name="TextBox 16">
          <a:extLst xmlns:a="http://schemas.openxmlformats.org/drawingml/2006/main">
            <a:ext uri="{FF2B5EF4-FFF2-40B4-BE49-F238E27FC236}">
              <a16:creationId xmlns:a16="http://schemas.microsoft.com/office/drawing/2014/main" id="{F5B45EF4-BCDF-4AE4-AFC3-4ADD74BBC0EE}"/>
            </a:ext>
          </a:extLst>
        </cdr:cNvPr>
        <cdr:cNvSpPr txBox="1"/>
      </cdr:nvSpPr>
      <cdr:spPr>
        <a:xfrm xmlns:a="http://schemas.openxmlformats.org/drawingml/2006/main">
          <a:off x="9371917" y="1795965"/>
          <a:ext cx="1611815" cy="48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A87B00A-4345-4FD6-A7DA-B76CF14D4EA7}" type="TxLink">
            <a:rPr lang="en-US" altLang="en-US" sz="1100" b="1" i="0" u="none" strike="noStrike">
              <a:solidFill>
                <a:srgbClr val="FFFFFF"/>
              </a:solidFill>
              <a:latin typeface="Calibri"/>
              <a:ea typeface="新細明體"/>
              <a:cs typeface="Calibri"/>
            </a:rPr>
            <a:pPr/>
            <a:t>1481524.097</a:t>
          </a:fld>
          <a:endParaRPr lang="en-HK" sz="1100"/>
        </a:p>
      </cdr:txBody>
    </cdr:sp>
  </cdr:relSizeAnchor>
  <cdr:relSizeAnchor xmlns:cdr="http://schemas.openxmlformats.org/drawingml/2006/chartDrawing">
    <cdr:from>
      <cdr:x>0.84168</cdr:x>
      <cdr:y>0.42402</cdr:y>
    </cdr:from>
    <cdr:to>
      <cdr:x>0.97356</cdr:x>
      <cdr:y>0.49156</cdr:y>
    </cdr:to>
    <cdr:sp macro="" textlink="#REF!">
      <cdr:nvSpPr>
        <cdr:cNvPr id="10" name="TextBox 18">
          <a:extLst xmlns:a="http://schemas.openxmlformats.org/drawingml/2006/main">
            <a:ext uri="{FF2B5EF4-FFF2-40B4-BE49-F238E27FC236}">
              <a16:creationId xmlns:a16="http://schemas.microsoft.com/office/drawing/2014/main" id="{F94B5918-3565-4F11-AD89-8BEF6A87B20B}"/>
            </a:ext>
          </a:extLst>
        </cdr:cNvPr>
        <cdr:cNvSpPr txBox="1"/>
      </cdr:nvSpPr>
      <cdr:spPr>
        <a:xfrm xmlns:a="http://schemas.openxmlformats.org/drawingml/2006/main">
          <a:off x="9435404" y="2725766"/>
          <a:ext cx="1478400" cy="4341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35DBE92-BA83-4D71-AC48-3128B2481AC2}" type="TxLink">
            <a:rPr lang="en-US" alt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/>
            <a:t>329.6620343</a:t>
          </a:fld>
          <a:endParaRPr lang="en-HK" sz="1100"/>
        </a:p>
      </cdr:txBody>
    </cdr:sp>
  </cdr:relSizeAnchor>
  <cdr:relSizeAnchor xmlns:cdr="http://schemas.openxmlformats.org/drawingml/2006/chartDrawing">
    <cdr:from>
      <cdr:x>0.83855</cdr:x>
      <cdr:y>0.35227</cdr:y>
    </cdr:from>
    <cdr:to>
      <cdr:x>0.97863</cdr:x>
      <cdr:y>0.4163</cdr:y>
    </cdr:to>
    <cdr:sp macro="" textlink="#REF!">
      <cdr:nvSpPr>
        <cdr:cNvPr id="11" name="TextBox 19">
          <a:extLst xmlns:a="http://schemas.openxmlformats.org/drawingml/2006/main">
            <a:ext uri="{FF2B5EF4-FFF2-40B4-BE49-F238E27FC236}">
              <a16:creationId xmlns:a16="http://schemas.microsoft.com/office/drawing/2014/main" id="{770D1ABE-242D-4EB5-A4A9-1F380F442790}"/>
            </a:ext>
          </a:extLst>
        </cdr:cNvPr>
        <cdr:cNvSpPr txBox="1"/>
      </cdr:nvSpPr>
      <cdr:spPr>
        <a:xfrm xmlns:a="http://schemas.openxmlformats.org/drawingml/2006/main">
          <a:off x="8981834" y="2191703"/>
          <a:ext cx="1500414" cy="3983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fld id="{ECAB3D87-FDCE-4DEE-9D4F-DF5189E595D6}" type="TxLink">
            <a:rPr lang="en-US" alt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/>
            <a:t>#REF!</a:t>
          </a:fld>
          <a:endParaRPr lang="en-US" altLang="en-US" sz="1100"/>
        </a:p>
      </cdr:txBody>
    </cdr:sp>
  </cdr:relSizeAnchor>
  <cdr:relSizeAnchor xmlns:cdr="http://schemas.openxmlformats.org/drawingml/2006/chartDrawing">
    <cdr:from>
      <cdr:x>0.84234</cdr:x>
      <cdr:y>0.50123</cdr:y>
    </cdr:from>
    <cdr:to>
      <cdr:x>0.97853</cdr:x>
      <cdr:y>0.56229</cdr:y>
    </cdr:to>
    <cdr:sp macro="" textlink="#REF!">
      <cdr:nvSpPr>
        <cdr:cNvPr id="12" name="TextBox 43">
          <a:extLst xmlns:a="http://schemas.openxmlformats.org/drawingml/2006/main">
            <a:ext uri="{FF2B5EF4-FFF2-40B4-BE49-F238E27FC236}">
              <a16:creationId xmlns:a16="http://schemas.microsoft.com/office/drawing/2014/main" id="{9FAC11AC-AEEB-4CDA-B41A-1E63C6945770}"/>
            </a:ext>
          </a:extLst>
        </cdr:cNvPr>
        <cdr:cNvSpPr txBox="1"/>
      </cdr:nvSpPr>
      <cdr:spPr>
        <a:xfrm xmlns:a="http://schemas.openxmlformats.org/drawingml/2006/main">
          <a:off x="9022355" y="3118480"/>
          <a:ext cx="1458748" cy="3798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fld id="{FD6B8795-B10D-48A6-ACD7-B648A5FAFA29}" type="TxLink">
            <a:rPr lang="en-US" alt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/>
            <a:t>#REF!</a:t>
          </a:fld>
          <a:endParaRPr lang="en-US" altLang="en-US" sz="1100"/>
        </a:p>
      </cdr:txBody>
    </cdr:sp>
  </cdr:relSizeAnchor>
  <cdr:relSizeAnchor xmlns:cdr="http://schemas.openxmlformats.org/drawingml/2006/chartDrawing">
    <cdr:from>
      <cdr:x>0.84178</cdr:x>
      <cdr:y>0.57763</cdr:y>
    </cdr:from>
    <cdr:to>
      <cdr:x>0.99003</cdr:x>
      <cdr:y>0.65817</cdr:y>
    </cdr:to>
    <cdr:sp macro="" textlink="#REF!">
      <cdr:nvSpPr>
        <cdr:cNvPr id="13" name="TextBox 44">
          <a:extLst xmlns:a="http://schemas.openxmlformats.org/drawingml/2006/main">
            <a:ext uri="{FF2B5EF4-FFF2-40B4-BE49-F238E27FC236}">
              <a16:creationId xmlns:a16="http://schemas.microsoft.com/office/drawing/2014/main" id="{00027524-4CAF-4FD6-8960-5D93DFA25E74}"/>
            </a:ext>
          </a:extLst>
        </cdr:cNvPr>
        <cdr:cNvSpPr txBox="1"/>
      </cdr:nvSpPr>
      <cdr:spPr>
        <a:xfrm xmlns:a="http://schemas.openxmlformats.org/drawingml/2006/main">
          <a:off x="9016426" y="3593804"/>
          <a:ext cx="1587925" cy="50108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F62E747-2209-4097-9B74-67D881365656}" type="TxLink">
            <a:rPr lang="en-US" alt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/>
            <a:t>1841652.989</a:t>
          </a:fld>
          <a:endParaRPr lang="en-HK" sz="1100"/>
        </a:p>
      </cdr:txBody>
    </cdr:sp>
  </cdr:relSizeAnchor>
  <cdr:relSizeAnchor xmlns:cdr="http://schemas.openxmlformats.org/drawingml/2006/chartDrawing">
    <cdr:from>
      <cdr:x>0.84272</cdr:x>
      <cdr:y>0.64893</cdr:y>
    </cdr:from>
    <cdr:to>
      <cdr:x>0.97043</cdr:x>
      <cdr:y>0.74245</cdr:y>
    </cdr:to>
    <cdr:sp macro="" textlink="#REF!">
      <cdr:nvSpPr>
        <cdr:cNvPr id="14" name="TextBox 45">
          <a:extLst xmlns:a="http://schemas.openxmlformats.org/drawingml/2006/main">
            <a:ext uri="{FF2B5EF4-FFF2-40B4-BE49-F238E27FC236}">
              <a16:creationId xmlns:a16="http://schemas.microsoft.com/office/drawing/2014/main" id="{62A00B25-173F-4B9D-A920-BFA909CDCF6A}"/>
            </a:ext>
          </a:extLst>
        </cdr:cNvPr>
        <cdr:cNvSpPr txBox="1"/>
      </cdr:nvSpPr>
      <cdr:spPr>
        <a:xfrm xmlns:a="http://schemas.openxmlformats.org/drawingml/2006/main">
          <a:off x="9026506" y="4037411"/>
          <a:ext cx="1367917" cy="5818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59C54E7-5F35-4D72-8E4C-B08701ADC074}" type="TxLink">
            <a:rPr lang="en-US" alt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/>
            <a:t>73.13133005</a:t>
          </a:fld>
          <a:endParaRPr lang="en-HK" sz="1100"/>
        </a:p>
      </cdr:txBody>
    </cdr:sp>
  </cdr:relSizeAnchor>
  <cdr:relSizeAnchor xmlns:cdr="http://schemas.openxmlformats.org/drawingml/2006/chartDrawing">
    <cdr:from>
      <cdr:x>0.84287</cdr:x>
      <cdr:y>0.72297</cdr:y>
    </cdr:from>
    <cdr:to>
      <cdr:x>0.98382</cdr:x>
      <cdr:y>0.81541</cdr:y>
    </cdr:to>
    <cdr:sp macro="" textlink="#REF!">
      <cdr:nvSpPr>
        <cdr:cNvPr id="15" name="TextBox 46">
          <a:extLst xmlns:a="http://schemas.openxmlformats.org/drawingml/2006/main">
            <a:ext uri="{FF2B5EF4-FFF2-40B4-BE49-F238E27FC236}">
              <a16:creationId xmlns:a16="http://schemas.microsoft.com/office/drawing/2014/main" id="{6594E885-C3BD-4271-845B-44E0ECFEBD13}"/>
            </a:ext>
          </a:extLst>
        </cdr:cNvPr>
        <cdr:cNvSpPr txBox="1"/>
      </cdr:nvSpPr>
      <cdr:spPr>
        <a:xfrm xmlns:a="http://schemas.openxmlformats.org/drawingml/2006/main">
          <a:off x="9028138" y="4498052"/>
          <a:ext cx="1509733" cy="5751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167F800-17D4-4DF0-8586-5519ECB0E60B}" type="TxLink">
            <a:rPr lang="en-US" alt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/>
            <a:t>77.01270418</a:t>
          </a:fld>
          <a:endParaRPr lang="en-HK" sz="1100"/>
        </a:p>
      </cdr:txBody>
    </cdr:sp>
  </cdr:relSizeAnchor>
  <cdr:relSizeAnchor xmlns:cdr="http://schemas.openxmlformats.org/drawingml/2006/chartDrawing">
    <cdr:from>
      <cdr:x>0.84466</cdr:x>
      <cdr:y>0.79354</cdr:y>
    </cdr:from>
    <cdr:to>
      <cdr:x>0.98991</cdr:x>
      <cdr:y>0.89439</cdr:y>
    </cdr:to>
    <cdr:sp macro="" textlink="#REF!">
      <cdr:nvSpPr>
        <cdr:cNvPr id="16" name="TextBox 3">
          <a:extLst xmlns:a="http://schemas.openxmlformats.org/drawingml/2006/main">
            <a:ext uri="{FF2B5EF4-FFF2-40B4-BE49-F238E27FC236}">
              <a16:creationId xmlns:a16="http://schemas.microsoft.com/office/drawing/2014/main" id="{5DC0315C-C319-4EC5-932A-8FAE492F503E}"/>
            </a:ext>
          </a:extLst>
        </cdr:cNvPr>
        <cdr:cNvSpPr txBox="1"/>
      </cdr:nvSpPr>
      <cdr:spPr>
        <a:xfrm xmlns:a="http://schemas.openxmlformats.org/drawingml/2006/main">
          <a:off x="9047280" y="4937077"/>
          <a:ext cx="1555791" cy="62744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2B936BA-E796-496C-9ACD-E88CD714F009}" type="TxLink">
            <a:rPr lang="en-US" alt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/>
            <a:t>96.24731018</a:t>
          </a:fld>
          <a:endParaRPr lang="en-HK" sz="1100"/>
        </a:p>
      </cdr:txBody>
    </cdr:sp>
  </cdr:relSizeAnchor>
  <cdr:relSizeAnchor xmlns:cdr="http://schemas.openxmlformats.org/drawingml/2006/chartDrawing">
    <cdr:from>
      <cdr:x>0.74234</cdr:x>
      <cdr:y>0.13479</cdr:y>
    </cdr:from>
    <cdr:to>
      <cdr:x>0.94343</cdr:x>
      <cdr:y>0.21702</cdr:y>
    </cdr:to>
    <cdr:sp macro="" textlink="real_time!$B$34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ADBBD3B4-C880-4F45-B235-E03AFCE7A67B}"/>
            </a:ext>
          </a:extLst>
        </cdr:cNvPr>
        <cdr:cNvSpPr txBox="1"/>
      </cdr:nvSpPr>
      <cdr:spPr>
        <a:xfrm xmlns:a="http://schemas.openxmlformats.org/drawingml/2006/main">
          <a:off x="9242651" y="886262"/>
          <a:ext cx="2503721" cy="5406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66EBA828-E125-474C-A0A2-1195800ECAB5}" type="TxLink">
            <a:rPr lang="en-US" altLang="en-US" sz="1100" b="1" i="0" u="none" strike="noStrike">
              <a:solidFill>
                <a:srgbClr val="FFFFFF"/>
              </a:solidFill>
              <a:latin typeface="Calibri"/>
              <a:ea typeface="新細明體"/>
              <a:cs typeface="Calibri"/>
            </a:rPr>
            <a:t>31/1/2022 17:33</a:t>
          </a:fld>
          <a:endParaRPr lang="en-US" altLang="en-US" sz="1100"/>
        </a:p>
      </cdr:txBody>
    </cdr:sp>
  </cdr:relSizeAnchor>
  <cdr:relSizeAnchor xmlns:cdr="http://schemas.openxmlformats.org/drawingml/2006/chartDrawing">
    <cdr:from>
      <cdr:x>0.26719</cdr:x>
      <cdr:y>0.14955</cdr:y>
    </cdr:from>
    <cdr:to>
      <cdr:x>0.41669</cdr:x>
      <cdr:y>0.2788</cdr:y>
    </cdr:to>
    <cdr:sp macro="" textlink="#REF!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14D0BC67-05EA-4CB3-B3EA-353D86405DC4}"/>
            </a:ext>
          </a:extLst>
        </cdr:cNvPr>
        <cdr:cNvSpPr txBox="1"/>
      </cdr:nvSpPr>
      <cdr:spPr>
        <a:xfrm xmlns:a="http://schemas.openxmlformats.org/drawingml/2006/main">
          <a:off x="3326662" y="983273"/>
          <a:ext cx="1861386" cy="8498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C5086AA6-A62B-4CF8-8C42-A8593901D29E}" type="TxLink">
            <a:rPr lang="en-US" alt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/>
            <a:t>1481524.097</a:t>
          </a:fld>
          <a:endParaRPr lang="zh-TW" altLang="en-US" sz="1100"/>
        </a:p>
      </cdr:txBody>
    </cdr:sp>
  </cdr:relSizeAnchor>
  <cdr:relSizeAnchor xmlns:cdr="http://schemas.openxmlformats.org/drawingml/2006/chartDrawing">
    <cdr:from>
      <cdr:x>0.59884</cdr:x>
      <cdr:y>0.13182</cdr:y>
    </cdr:from>
    <cdr:to>
      <cdr:x>0.7487</cdr:x>
      <cdr:y>0.21193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1C3DB9C1-D111-4261-9CE6-2DCAED5F29FC}"/>
            </a:ext>
          </a:extLst>
        </cdr:cNvPr>
        <cdr:cNvSpPr txBox="1"/>
      </cdr:nvSpPr>
      <cdr:spPr>
        <a:xfrm xmlns:a="http://schemas.openxmlformats.org/drawingml/2006/main">
          <a:off x="6414198" y="820132"/>
          <a:ext cx="1605221" cy="4984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Current Date Time is: 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0.06316</cdr:x>
      <cdr:y>0.1481</cdr:y>
    </cdr:from>
    <cdr:to>
      <cdr:x>0.28314</cdr:x>
      <cdr:y>0.21584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BED3C47D-01D3-4A43-BEF4-18E3EC16C27A}"/>
            </a:ext>
          </a:extLst>
        </cdr:cNvPr>
        <cdr:cNvSpPr txBox="1"/>
      </cdr:nvSpPr>
      <cdr:spPr>
        <a:xfrm xmlns:a="http://schemas.openxmlformats.org/drawingml/2006/main">
          <a:off x="703564" y="952080"/>
          <a:ext cx="2450374" cy="4354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Current Net Liquidation</a:t>
          </a:r>
          <a:r>
            <a:rPr lang="en-HK" altLang="zh-TW" sz="1100" b="1" baseline="0">
              <a:solidFill>
                <a:schemeClr val="bg1"/>
              </a:solidFill>
            </a:rPr>
            <a:t> is (in HKD): 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0.71082</cdr:x>
      <cdr:y>0.42734</cdr:y>
    </cdr:from>
    <cdr:to>
      <cdr:x>0.78411</cdr:x>
      <cdr:y>0.51591</cdr:y>
    </cdr:to>
    <cdr:sp macro="" textlink="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7917822" y="2747107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(in</a:t>
          </a:r>
          <a:r>
            <a:rPr lang="en-HK" altLang="zh-TW" sz="1100" b="1" baseline="0">
              <a:solidFill>
                <a:schemeClr val="bg1"/>
              </a:solidFill>
            </a:rPr>
            <a:t> HKD)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0.81606</cdr:x>
      <cdr:y>0.34983</cdr:y>
    </cdr:from>
    <cdr:to>
      <cdr:x>0.88936</cdr:x>
      <cdr:y>0.43841</cdr:y>
    </cdr:to>
    <cdr:sp macro="" textlink="">
      <cdr:nvSpPr>
        <cdr:cNvPr id="21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9090130" y="2248877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(%</a:t>
          </a:r>
          <a:r>
            <a:rPr lang="en-HK" altLang="zh-TW" sz="1100" b="1" baseline="0">
              <a:solidFill>
                <a:schemeClr val="bg1"/>
              </a:solidFill>
            </a:rPr>
            <a:t>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0.75968</cdr:x>
      <cdr:y>0.50158</cdr:y>
    </cdr:from>
    <cdr:to>
      <cdr:x>0.83298</cdr:x>
      <cdr:y>0.59016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8462108" y="3224404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(%</a:t>
          </a:r>
          <a:r>
            <a:rPr lang="en-HK" altLang="zh-TW" sz="1100" b="1" baseline="0">
              <a:solidFill>
                <a:schemeClr val="bg1"/>
              </a:solidFill>
            </a:rPr>
            <a:t>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0.6514</cdr:x>
      <cdr:y>0.65008</cdr:y>
    </cdr:from>
    <cdr:to>
      <cdr:x>0.72423</cdr:x>
      <cdr:y>0.73866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7302360" y="4178998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(%</a:t>
          </a:r>
          <a:r>
            <a:rPr lang="en-HK" altLang="zh-TW" sz="1100" b="1" baseline="0">
              <a:solidFill>
                <a:schemeClr val="bg1"/>
              </a:solidFill>
            </a:rPr>
            <a:t>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0.6839</cdr:x>
      <cdr:y>0.73019</cdr:y>
    </cdr:from>
    <cdr:to>
      <cdr:x>0.75673</cdr:x>
      <cdr:y>0.81877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7666613" y="4693975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(%</a:t>
          </a:r>
          <a:r>
            <a:rPr lang="en-HK" altLang="zh-TW" sz="1100" b="1" baseline="0">
              <a:solidFill>
                <a:schemeClr val="bg1"/>
              </a:solidFill>
            </a:rPr>
            <a:t>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0.68539</cdr:x>
      <cdr:y>0.79858</cdr:y>
    </cdr:from>
    <cdr:to>
      <cdr:x>0.75822</cdr:x>
      <cdr:y>0.88715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7683360" y="5133591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(%</a:t>
          </a:r>
          <a:r>
            <a:rPr lang="en-HK" altLang="zh-TW" sz="1100" b="1" baseline="0">
              <a:solidFill>
                <a:schemeClr val="bg1"/>
              </a:solidFill>
            </a:rPr>
            <a:t>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0.76681</cdr:x>
      <cdr:y>0.27689</cdr:y>
    </cdr:from>
    <cdr:to>
      <cdr:x>0.83964</cdr:x>
      <cdr:y>0.36546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8596086" y="1779954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(in</a:t>
          </a:r>
          <a:r>
            <a:rPr lang="en-HK" altLang="zh-TW" sz="1100" b="1" baseline="0">
              <a:solidFill>
                <a:schemeClr val="bg1"/>
              </a:solidFill>
            </a:rPr>
            <a:t> HKD)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46D66A0-2BB5-40E5-8F17-411A9C24C8EA}" autoFormatId="16" applyNumberFormats="0" applyBorderFormats="0" applyFontFormats="0" applyPatternFormats="0" applyAlignmentFormats="0" applyWidthHeightFormats="0">
  <queryTableRefresh nextId="29">
    <queryTableFields count="28">
      <queryTableField id="1" name="date" tableColumnId="1"/>
      <queryTableField id="2" name="time" tableColumnId="2"/>
      <queryTableField id="3" name="timestamp" tableColumnId="3"/>
      <queryTableField id="4" name="TotalCashValue" tableColumnId="4"/>
      <queryTableField id="5" name="NetDividend" tableColumnId="5"/>
      <queryTableField id="6" name="NetLiquidation" tableColumnId="6"/>
      <queryTableField id="7" name="UnrealizedPnL" tableColumnId="7"/>
      <queryTableField id="8" name="RealizedPnL" tableColumnId="8"/>
      <queryTableField id="9" name="GrossPositionValue" tableColumnId="9"/>
      <queryTableField id="10" name="AvailableFunds" tableColumnId="10"/>
      <queryTableField id="11" name="ExcessLiquidity" tableColumnId="11"/>
      <queryTableField id="12" name="BuyingPower" tableColumnId="12"/>
      <queryTableField id="13" name="Leverage" tableColumnId="13"/>
      <queryTableField id="14" name="EquityWithLoanValue" tableColumnId="14"/>
      <queryTableField id="15" name="QQQ position" tableColumnId="15"/>
      <queryTableField id="16" name="QQQ marketPrice" tableColumnId="16"/>
      <queryTableField id="17" name="QQQ averageCost" tableColumnId="17"/>
      <queryTableField id="18" name="QQQ marketValue" tableColumnId="18"/>
      <queryTableField id="19" name="QQQ realizedPNL" tableColumnId="19"/>
      <queryTableField id="20" name="QQQ unrealizedPNL" tableColumnId="20"/>
      <queryTableField id="21" name="QQQ initMarginReq" tableColumnId="21"/>
      <queryTableField id="22" name="QQQ maintMarginReq" tableColumnId="22"/>
      <queryTableField id="23" name="QQQ costBasis" tableColumnId="23"/>
      <queryTableField id="24" name="QQQ action" tableColumnId="24"/>
      <queryTableField id="25" name="QQQ totalQuantity" tableColumnId="25"/>
      <queryTableField id="26" name="QQQ avgPrice" tableColumnId="26"/>
      <queryTableField id="27" name="QQQ commission" tableColumnId="27"/>
      <queryTableField id="28" name="QQQ transaction_amount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2F280A-A778-4177-A38E-0A81EC305426}" name="_0_038_rebalance_margin_0_01_maintain_margin_0_04_max_drawdown_ratio_5_0_purchase" displayName="_0_038_rebalance_margin_0_01_maintain_margin_0_04_max_drawdown_ratio_5_0_purchase" ref="A1:AB26" tableType="queryTable" totalsRowShown="0">
  <autoFilter ref="A1:AB26" xr:uid="{552F280A-A778-4177-A38E-0A81EC305426}"/>
  <tableColumns count="28">
    <tableColumn id="1" xr3:uid="{5C91DF0B-0007-410B-BCED-9F15C328BAFE}" uniqueName="1" name="Date" queryTableFieldId="1" dataDxfId="5"/>
    <tableColumn id="2" xr3:uid="{E64384D6-E89A-4FB5-AC6D-72F28164EA64}" uniqueName="2" name="Time" queryTableFieldId="2" dataDxfId="4"/>
    <tableColumn id="3" xr3:uid="{57FA814A-7E50-461B-87E1-E92DE1FBAA82}" uniqueName="3" name="timestamp" queryTableFieldId="3"/>
    <tableColumn id="4" xr3:uid="{FA3C6272-B1C1-4DAE-9428-3FF540A9C976}" uniqueName="4" name="TotalCashValue" queryTableFieldId="4"/>
    <tableColumn id="5" xr3:uid="{C9B4CA4A-8FB3-4932-992A-53B40DCF7AF7}" uniqueName="5" name="NetDividend" queryTableFieldId="5"/>
    <tableColumn id="6" xr3:uid="{07D2A49A-00DB-4E2C-96B3-FF8EBEEABD39}" uniqueName="6" name="NetLiquidation" queryTableFieldId="6"/>
    <tableColumn id="7" xr3:uid="{0F40BC86-2476-454B-ABE5-E46BCC041060}" uniqueName="7" name="UnrealizedPnL" queryTableFieldId="7"/>
    <tableColumn id="8" xr3:uid="{9A642269-9F0E-4649-A41F-6AEF8E61D580}" uniqueName="8" name="RealizedPnL" queryTableFieldId="8"/>
    <tableColumn id="9" xr3:uid="{CFE48956-B35E-4888-8D40-1F4C7F136175}" uniqueName="9" name="GrossPositionValue" queryTableFieldId="9"/>
    <tableColumn id="10" xr3:uid="{845DC9E6-F8A4-4F93-A939-8F222F0FB1DF}" uniqueName="10" name="AvailableFunds" queryTableFieldId="10"/>
    <tableColumn id="11" xr3:uid="{5D5BAB90-F4EA-4335-9F27-8E28E20009DE}" uniqueName="11" name="ExcessLiquidity" queryTableFieldId="11"/>
    <tableColumn id="12" xr3:uid="{3DBAA0E7-6B22-48A9-88C0-D72376A5FD45}" uniqueName="12" name="BuyingPower" queryTableFieldId="12"/>
    <tableColumn id="13" xr3:uid="{1EDBB4E3-2274-4AD4-8B7F-F360460025CC}" uniqueName="13" name="Leverage" queryTableFieldId="13"/>
    <tableColumn id="14" xr3:uid="{F6A52ED0-A7E2-4ABA-A4A5-A34460D9646E}" uniqueName="14" name="EquityWithLoanValue" queryTableFieldId="14"/>
    <tableColumn id="15" xr3:uid="{4E64F1F2-8EEB-460D-A681-1A1FE9326B7D}" uniqueName="15" name="QQQ position" queryTableFieldId="15"/>
    <tableColumn id="16" xr3:uid="{5211EE1E-21EC-4DF0-9892-C9B95F94FCE5}" uniqueName="16" name="QQQ marketPrice" queryTableFieldId="16"/>
    <tableColumn id="17" xr3:uid="{5BA637EC-FE99-40C7-96A3-36BD7D6F368E}" uniqueName="17" name="QQQ averageCost" queryTableFieldId="17"/>
    <tableColumn id="18" xr3:uid="{3DCA2BE7-B5F1-4BFC-8918-3338F0273127}" uniqueName="18" name="QQQ marketValue" queryTableFieldId="18"/>
    <tableColumn id="19" xr3:uid="{FE9C0EBE-91A2-4715-A419-861C1A39A274}" uniqueName="19" name="QQQ realizedPNL" queryTableFieldId="19"/>
    <tableColumn id="20" xr3:uid="{E75FCE63-97C1-4F0F-A60D-62B3EF51C033}" uniqueName="20" name="QQQ unrealizedPNL" queryTableFieldId="20"/>
    <tableColumn id="21" xr3:uid="{8ED80C15-CDB7-45D1-B3F4-12E27DBE05B8}" uniqueName="21" name="QQQ initMarginReq" queryTableFieldId="21"/>
    <tableColumn id="22" xr3:uid="{A602E9F7-49E6-48AF-AA5D-FFE039BCD4CB}" uniqueName="22" name="QQQ maintMarginReq" queryTableFieldId="22"/>
    <tableColumn id="23" xr3:uid="{2D62DB03-D20C-44FA-962C-D791FF894D76}" uniqueName="23" name="QQQ costBasis" queryTableFieldId="23"/>
    <tableColumn id="24" xr3:uid="{B3A799BE-FCAF-46E0-B0D8-CE9A9CD334CD}" uniqueName="24" name="QQQ action" queryTableFieldId="24" dataDxfId="3"/>
    <tableColumn id="25" xr3:uid="{7B22A3B3-83B4-4AA0-B98E-9F6AA0933222}" uniqueName="25" name="QQQ totalQuantity" queryTableFieldId="25" dataDxfId="2"/>
    <tableColumn id="26" xr3:uid="{0D4AADF0-4A60-4C6C-BBDA-04F79B9A1E84}" uniqueName="26" name="QQQ avgPrice" queryTableFieldId="26" dataDxfId="1"/>
    <tableColumn id="27" xr3:uid="{0B3BA2D7-6AED-40C2-8C96-3A5542AE3BB4}" uniqueName="27" name="QQQ commission" queryTableFieldId="27" dataDxfId="0"/>
    <tableColumn id="28" xr3:uid="{03FF4CF4-4CC2-4AEB-882A-D4AFB86406E7}" uniqueName="28" name="QQQ transaction_amount" queryTableFieldId="2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F264B-AA57-4793-ACB8-28867B6EFAC1}">
  <sheetPr codeName="Sheet1"/>
  <dimension ref="A1:AB34"/>
  <sheetViews>
    <sheetView tabSelected="1" zoomScaleNormal="100" workbookViewId="0">
      <selection activeCell="B34" sqref="B34"/>
    </sheetView>
  </sheetViews>
  <sheetFormatPr defaultRowHeight="15.45" x14ac:dyDescent="0.4"/>
  <cols>
    <col min="1" max="1" width="9.33203125" bestFit="1" customWidth="1"/>
    <col min="2" max="2" width="16.58203125" bestFit="1" customWidth="1"/>
    <col min="3" max="3" width="13.08203125" bestFit="1" customWidth="1"/>
    <col min="4" max="4" width="18.58203125" bestFit="1" customWidth="1"/>
    <col min="5" max="5" width="15.5" bestFit="1" customWidth="1"/>
    <col min="6" max="6" width="17.75" bestFit="1" customWidth="1"/>
    <col min="7" max="7" width="17.58203125" bestFit="1" customWidth="1"/>
    <col min="8" max="8" width="15.5" bestFit="1" customWidth="1"/>
    <col min="9" max="9" width="22.1640625" bestFit="1" customWidth="1"/>
    <col min="10" max="10" width="18.25" bestFit="1" customWidth="1"/>
    <col min="11" max="11" width="18.58203125" bestFit="1" customWidth="1"/>
    <col min="12" max="12" width="16.08203125" bestFit="1" customWidth="1"/>
    <col min="13" max="13" width="12.33203125" bestFit="1" customWidth="1"/>
    <col min="14" max="14" width="24.75" bestFit="1" customWidth="1"/>
    <col min="15" max="15" width="16.6640625" bestFit="1" customWidth="1"/>
    <col min="16" max="16" width="20.58203125" bestFit="1" customWidth="1"/>
    <col min="17" max="17" width="20.6640625" bestFit="1" customWidth="1"/>
    <col min="18" max="18" width="21.25" bestFit="1" customWidth="1"/>
    <col min="19" max="19" width="21.08203125" bestFit="1" customWidth="1"/>
    <col min="20" max="20" width="23.4140625" bestFit="1" customWidth="1"/>
    <col min="21" max="21" width="23" bestFit="1" customWidth="1"/>
    <col min="22" max="22" width="25.08203125" bestFit="1" customWidth="1"/>
    <col min="23" max="23" width="17.9140625" bestFit="1" customWidth="1"/>
    <col min="24" max="24" width="14.83203125" bestFit="1" customWidth="1"/>
    <col min="25" max="25" width="21.75" bestFit="1" customWidth="1"/>
    <col min="26" max="26" width="17.33203125" bestFit="1" customWidth="1"/>
    <col min="27" max="27" width="20.33203125" bestFit="1" customWidth="1"/>
    <col min="28" max="28" width="27.75" bestFit="1" customWidth="1"/>
  </cols>
  <sheetData>
    <row r="1" spans="1:28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8" x14ac:dyDescent="0.4">
      <c r="A2" s="2">
        <v>44591</v>
      </c>
      <c r="B2" s="1">
        <v>0.85649305555555555</v>
      </c>
      <c r="C2">
        <v>1643546001.2470291</v>
      </c>
      <c r="D2">
        <v>-9959.5999999999767</v>
      </c>
      <c r="E2">
        <v>0</v>
      </c>
      <c r="F2">
        <v>1000000</v>
      </c>
      <c r="G2">
        <v>0</v>
      </c>
      <c r="H2">
        <v>0</v>
      </c>
      <c r="I2">
        <v>1009959.6</v>
      </c>
      <c r="J2">
        <v>899004.04</v>
      </c>
      <c r="K2">
        <v>888904.44400000002</v>
      </c>
      <c r="L2">
        <v>5993360.2666666666</v>
      </c>
      <c r="M2">
        <v>1.0099596</v>
      </c>
      <c r="N2">
        <v>1000000</v>
      </c>
      <c r="O2">
        <v>6410</v>
      </c>
      <c r="P2">
        <v>0</v>
      </c>
      <c r="Q2">
        <v>157.56</v>
      </c>
      <c r="R2">
        <v>1009959.6</v>
      </c>
      <c r="S2">
        <v>0</v>
      </c>
      <c r="T2">
        <v>0</v>
      </c>
      <c r="U2">
        <v>100995.96</v>
      </c>
      <c r="V2">
        <v>111095.556</v>
      </c>
      <c r="W2">
        <v>1009959.6</v>
      </c>
      <c r="X2" s="4" t="s">
        <v>28</v>
      </c>
      <c r="Y2" s="4" t="s">
        <v>29</v>
      </c>
      <c r="Z2" s="4" t="s">
        <v>29</v>
      </c>
      <c r="AA2" s="4" t="s">
        <v>29</v>
      </c>
      <c r="AB2">
        <v>1009959.6</v>
      </c>
    </row>
    <row r="3" spans="1:28" x14ac:dyDescent="0.4">
      <c r="A3" s="2">
        <v>44591</v>
      </c>
      <c r="B3" s="1">
        <v>0.85649305555555555</v>
      </c>
      <c r="C3">
        <v>1643546001.2648389</v>
      </c>
      <c r="D3">
        <v>-859208</v>
      </c>
      <c r="E3">
        <v>0</v>
      </c>
      <c r="F3">
        <v>1000000</v>
      </c>
      <c r="G3">
        <v>0</v>
      </c>
      <c r="H3">
        <v>0</v>
      </c>
      <c r="I3">
        <v>1859208</v>
      </c>
      <c r="J3">
        <v>814079.2</v>
      </c>
      <c r="K3">
        <v>795487.12</v>
      </c>
      <c r="L3">
        <v>5427194.666666667</v>
      </c>
      <c r="M3">
        <v>1.859208</v>
      </c>
      <c r="N3">
        <v>1000000</v>
      </c>
      <c r="O3">
        <v>11800</v>
      </c>
      <c r="P3">
        <v>156</v>
      </c>
      <c r="Q3">
        <v>157.56</v>
      </c>
      <c r="R3">
        <v>1859208</v>
      </c>
      <c r="S3">
        <v>0</v>
      </c>
      <c r="T3">
        <v>-9999.5999999999767</v>
      </c>
      <c r="U3">
        <v>185920.80000000002</v>
      </c>
      <c r="V3">
        <v>204512.88</v>
      </c>
      <c r="W3">
        <v>1859208</v>
      </c>
      <c r="X3" s="4" t="s">
        <v>28</v>
      </c>
      <c r="Y3" s="4" t="s">
        <v>29</v>
      </c>
      <c r="Z3" s="4" t="s">
        <v>29</v>
      </c>
      <c r="AA3" s="4" t="s">
        <v>29</v>
      </c>
      <c r="AB3">
        <v>849248.4</v>
      </c>
    </row>
    <row r="4" spans="1:28" x14ac:dyDescent="0.4">
      <c r="A4" s="2">
        <v>44591</v>
      </c>
      <c r="B4" s="1">
        <v>0.85649305555555555</v>
      </c>
      <c r="C4">
        <v>1643546001.3246441</v>
      </c>
      <c r="D4">
        <v>-1573269.92</v>
      </c>
      <c r="E4">
        <v>0</v>
      </c>
      <c r="F4">
        <v>1000000</v>
      </c>
      <c r="G4">
        <v>0</v>
      </c>
      <c r="H4">
        <v>0</v>
      </c>
      <c r="I4">
        <v>2573269.92</v>
      </c>
      <c r="J4">
        <v>742673.00800000003</v>
      </c>
      <c r="K4">
        <v>716940.3088</v>
      </c>
      <c r="L4">
        <v>4951153.3866666667</v>
      </c>
      <c r="M4">
        <v>2.57326992</v>
      </c>
      <c r="N4">
        <v>1000000</v>
      </c>
      <c r="O4">
        <v>16332</v>
      </c>
      <c r="P4">
        <v>156</v>
      </c>
      <c r="Q4">
        <v>157.56</v>
      </c>
      <c r="R4">
        <v>2573269.92</v>
      </c>
      <c r="S4">
        <v>0</v>
      </c>
      <c r="T4">
        <v>-18408</v>
      </c>
      <c r="U4">
        <v>257326.992</v>
      </c>
      <c r="V4">
        <v>283059.6912</v>
      </c>
      <c r="W4">
        <v>2573269.92</v>
      </c>
      <c r="X4" s="4" t="s">
        <v>28</v>
      </c>
      <c r="Y4" s="4" t="s">
        <v>29</v>
      </c>
      <c r="Z4" s="4" t="s">
        <v>29</v>
      </c>
      <c r="AA4" s="4" t="s">
        <v>29</v>
      </c>
      <c r="AB4">
        <v>714061.92</v>
      </c>
    </row>
    <row r="5" spans="1:28" x14ac:dyDescent="0.4">
      <c r="A5" s="2">
        <v>44591</v>
      </c>
      <c r="B5" s="1">
        <v>0.85649305555555555</v>
      </c>
      <c r="C5">
        <v>1643546001.3714049</v>
      </c>
      <c r="D5">
        <v>-2173731.08</v>
      </c>
      <c r="E5">
        <v>0</v>
      </c>
      <c r="F5">
        <v>1000000</v>
      </c>
      <c r="G5">
        <v>0</v>
      </c>
      <c r="H5">
        <v>0</v>
      </c>
      <c r="I5">
        <v>3173731.08</v>
      </c>
      <c r="J5">
        <v>682626.89199999999</v>
      </c>
      <c r="K5">
        <v>650889.58120000002</v>
      </c>
      <c r="L5">
        <v>4550845.9466666663</v>
      </c>
      <c r="M5">
        <v>3.17373108</v>
      </c>
      <c r="N5">
        <v>1000000</v>
      </c>
      <c r="O5">
        <v>20143</v>
      </c>
      <c r="P5">
        <v>156</v>
      </c>
      <c r="Q5">
        <v>157.56</v>
      </c>
      <c r="R5">
        <v>3173731.08</v>
      </c>
      <c r="S5">
        <v>0</v>
      </c>
      <c r="T5">
        <v>-25477.919999999925</v>
      </c>
      <c r="U5">
        <v>317373.10800000001</v>
      </c>
      <c r="V5">
        <v>349110.41879999998</v>
      </c>
      <c r="W5">
        <v>3173731.08</v>
      </c>
      <c r="X5" s="4" t="s">
        <v>28</v>
      </c>
      <c r="Y5" s="4" t="s">
        <v>29</v>
      </c>
      <c r="Z5" s="4" t="s">
        <v>29</v>
      </c>
      <c r="AA5" s="4" t="s">
        <v>29</v>
      </c>
      <c r="AB5">
        <v>600461.16</v>
      </c>
    </row>
    <row r="6" spans="1:28" x14ac:dyDescent="0.4">
      <c r="A6" s="2">
        <v>44591</v>
      </c>
      <c r="B6" s="1">
        <v>0.85649305555555555</v>
      </c>
      <c r="C6">
        <v>1643546001.4043961</v>
      </c>
      <c r="D6">
        <v>-2672107.702</v>
      </c>
      <c r="E6">
        <v>0</v>
      </c>
      <c r="F6">
        <v>993082.89379999973</v>
      </c>
      <c r="G6">
        <v>-6917.1062000002712</v>
      </c>
      <c r="H6">
        <v>0</v>
      </c>
      <c r="I6">
        <v>3665190.5957999998</v>
      </c>
      <c r="J6">
        <v>625872.1235999997</v>
      </c>
      <c r="K6">
        <v>589151.04657999973</v>
      </c>
      <c r="L6">
        <v>4172480.8239999977</v>
      </c>
      <c r="M6">
        <v>3.6907196958909099</v>
      </c>
      <c r="N6">
        <v>993082.89379999973</v>
      </c>
      <c r="O6">
        <v>23313</v>
      </c>
      <c r="P6">
        <v>155.66</v>
      </c>
      <c r="Q6">
        <v>157.51330596662805</v>
      </c>
      <c r="R6">
        <v>3665190.5957999998</v>
      </c>
      <c r="S6">
        <v>0</v>
      </c>
      <c r="T6">
        <v>-38271.700000000186</v>
      </c>
      <c r="U6">
        <v>367210.77020000003</v>
      </c>
      <c r="V6">
        <v>403931.84722</v>
      </c>
      <c r="W6">
        <v>3672107.702</v>
      </c>
      <c r="X6" s="4" t="s">
        <v>28</v>
      </c>
      <c r="Y6" s="4" t="s">
        <v>29</v>
      </c>
      <c r="Z6" s="4" t="s">
        <v>29</v>
      </c>
      <c r="AA6" s="4" t="s">
        <v>29</v>
      </c>
      <c r="AB6">
        <v>498376.62199999997</v>
      </c>
    </row>
    <row r="7" spans="1:28" x14ac:dyDescent="0.4">
      <c r="A7" s="2">
        <v>44591</v>
      </c>
      <c r="B7" s="1">
        <v>0.85649305555555555</v>
      </c>
      <c r="C7">
        <v>1643546001.4427099</v>
      </c>
      <c r="D7">
        <v>-3091089.9410000001</v>
      </c>
      <c r="E7">
        <v>0</v>
      </c>
      <c r="F7">
        <v>993082.89379999973</v>
      </c>
      <c r="G7">
        <v>-6917.1062000002712</v>
      </c>
      <c r="H7">
        <v>0</v>
      </c>
      <c r="I7">
        <v>4084172.8347999998</v>
      </c>
      <c r="J7">
        <v>583973.89969999972</v>
      </c>
      <c r="K7">
        <v>543063.00028999965</v>
      </c>
      <c r="L7">
        <v>3893159.3313333318</v>
      </c>
      <c r="M7">
        <v>4.1126202659397784</v>
      </c>
      <c r="N7">
        <v>993082.89379999973</v>
      </c>
      <c r="O7">
        <v>25978</v>
      </c>
      <c r="P7">
        <v>155.66</v>
      </c>
      <c r="Q7">
        <v>157.48286784971899</v>
      </c>
      <c r="R7">
        <v>4084172.8347999998</v>
      </c>
      <c r="S7">
        <v>0</v>
      </c>
      <c r="T7">
        <v>-43206.121999999974</v>
      </c>
      <c r="U7">
        <v>409108.99410000001</v>
      </c>
      <c r="V7">
        <v>450019.89351000002</v>
      </c>
      <c r="W7">
        <v>4091089.9410000001</v>
      </c>
      <c r="X7" s="4" t="s">
        <v>28</v>
      </c>
      <c r="Y7" s="4" t="s">
        <v>29</v>
      </c>
      <c r="Z7" s="4" t="s">
        <v>29</v>
      </c>
      <c r="AA7" s="4" t="s">
        <v>29</v>
      </c>
      <c r="AB7">
        <v>418982.239</v>
      </c>
    </row>
    <row r="8" spans="1:28" x14ac:dyDescent="0.4">
      <c r="A8" s="2">
        <v>44591</v>
      </c>
      <c r="B8" s="1">
        <v>0.85649305555555555</v>
      </c>
      <c r="C8">
        <v>1643546001.4693911</v>
      </c>
      <c r="D8">
        <v>-3443412.3415999999</v>
      </c>
      <c r="E8">
        <v>0</v>
      </c>
      <c r="F8">
        <v>993082.89379999973</v>
      </c>
      <c r="G8">
        <v>-6917.1062000002712</v>
      </c>
      <c r="H8">
        <v>0</v>
      </c>
      <c r="I8">
        <v>4436495.2353999997</v>
      </c>
      <c r="J8">
        <v>548741.65963999974</v>
      </c>
      <c r="K8">
        <v>504307.53622399975</v>
      </c>
      <c r="L8">
        <v>3658277.7309333314</v>
      </c>
      <c r="M8">
        <v>4.4673966927613602</v>
      </c>
      <c r="N8">
        <v>993082.89379999973</v>
      </c>
      <c r="O8">
        <v>28219</v>
      </c>
      <c r="P8">
        <v>155.66</v>
      </c>
      <c r="Q8">
        <v>157.46172230057763</v>
      </c>
      <c r="R8">
        <v>4436495.2353999997</v>
      </c>
      <c r="S8">
        <v>0</v>
      </c>
      <c r="T8">
        <v>-47354.461000000127</v>
      </c>
      <c r="U8">
        <v>444341.23415999999</v>
      </c>
      <c r="V8">
        <v>488775.35757599998</v>
      </c>
      <c r="W8">
        <v>4443412.3415999999</v>
      </c>
      <c r="X8" s="4" t="s">
        <v>28</v>
      </c>
      <c r="Y8" s="4" t="s">
        <v>29</v>
      </c>
      <c r="Z8" s="4" t="s">
        <v>29</v>
      </c>
      <c r="AA8" s="4" t="s">
        <v>29</v>
      </c>
      <c r="AB8">
        <v>352322.40059999999</v>
      </c>
    </row>
    <row r="9" spans="1:28" x14ac:dyDescent="0.4">
      <c r="A9" s="2">
        <v>44591</v>
      </c>
      <c r="B9" s="1">
        <v>0.85649305555555555</v>
      </c>
      <c r="C9">
        <v>1643546001.5067861</v>
      </c>
      <c r="D9">
        <v>-3739765.6326000001</v>
      </c>
      <c r="E9">
        <v>0</v>
      </c>
      <c r="F9">
        <v>993082.89379999973</v>
      </c>
      <c r="G9">
        <v>-6917.1062000002712</v>
      </c>
      <c r="H9">
        <v>0</v>
      </c>
      <c r="I9">
        <v>4732848.5263999999</v>
      </c>
      <c r="J9">
        <v>519106.3305399997</v>
      </c>
      <c r="K9">
        <v>471708.67421399971</v>
      </c>
      <c r="L9">
        <v>3460708.8702666648</v>
      </c>
      <c r="M9">
        <v>4.7658141691373892</v>
      </c>
      <c r="N9">
        <v>993082.89379999973</v>
      </c>
      <c r="O9">
        <v>30104</v>
      </c>
      <c r="P9">
        <v>155.66</v>
      </c>
      <c r="Q9">
        <v>157.44637365798565</v>
      </c>
      <c r="R9">
        <v>4732848.5263999999</v>
      </c>
      <c r="S9">
        <v>0</v>
      </c>
      <c r="T9">
        <v>-50842.80159999989</v>
      </c>
      <c r="U9">
        <v>473976.56326000002</v>
      </c>
      <c r="V9">
        <v>521374.21958600002</v>
      </c>
      <c r="W9">
        <v>4739765.6326000001</v>
      </c>
      <c r="X9" s="4" t="s">
        <v>28</v>
      </c>
      <c r="Y9" s="4" t="s">
        <v>29</v>
      </c>
      <c r="Z9" s="4" t="s">
        <v>29</v>
      </c>
      <c r="AA9" s="4" t="s">
        <v>29</v>
      </c>
      <c r="AB9">
        <v>296353.29100000003</v>
      </c>
    </row>
    <row r="10" spans="1:28" x14ac:dyDescent="0.4">
      <c r="A10" s="2">
        <v>44591</v>
      </c>
      <c r="B10" s="1">
        <v>0.85649305555555555</v>
      </c>
      <c r="C10">
        <v>1643546001.5544829</v>
      </c>
      <c r="D10">
        <v>-3988953.9435999999</v>
      </c>
      <c r="E10">
        <v>0</v>
      </c>
      <c r="F10">
        <v>993082.89379999973</v>
      </c>
      <c r="G10">
        <v>-6917.1062000002712</v>
      </c>
      <c r="H10">
        <v>0</v>
      </c>
      <c r="I10">
        <v>4982036.8373999996</v>
      </c>
      <c r="J10">
        <v>494187.49943999969</v>
      </c>
      <c r="K10">
        <v>444297.96000399976</v>
      </c>
      <c r="L10">
        <v>3294583.3295999975</v>
      </c>
      <c r="M10">
        <v>5.0167381479469411</v>
      </c>
      <c r="N10">
        <v>993082.89379999973</v>
      </c>
      <c r="O10">
        <v>31689</v>
      </c>
      <c r="P10">
        <v>155.66</v>
      </c>
      <c r="Q10">
        <v>157.43488098709332</v>
      </c>
      <c r="R10">
        <v>4982036.8373999996</v>
      </c>
      <c r="S10">
        <v>0</v>
      </c>
      <c r="T10">
        <v>-53776.992600000463</v>
      </c>
      <c r="U10">
        <v>498895.39436000003</v>
      </c>
      <c r="V10">
        <v>548784.93379599997</v>
      </c>
      <c r="W10">
        <v>4988953.9435999999</v>
      </c>
      <c r="X10" s="4" t="s">
        <v>28</v>
      </c>
      <c r="Y10" s="4" t="s">
        <v>29</v>
      </c>
      <c r="Z10" s="4" t="s">
        <v>29</v>
      </c>
      <c r="AA10" s="4" t="s">
        <v>29</v>
      </c>
      <c r="AB10">
        <v>249188.31099999999</v>
      </c>
    </row>
    <row r="11" spans="1:28" x14ac:dyDescent="0.4">
      <c r="A11" s="2">
        <v>44591</v>
      </c>
      <c r="B11" s="1">
        <v>0.85649305555555555</v>
      </c>
      <c r="C11">
        <v>1643546001.6171639</v>
      </c>
      <c r="D11">
        <v>-4198523.6713999994</v>
      </c>
      <c r="E11">
        <v>0</v>
      </c>
      <c r="F11">
        <v>993082.89380000066</v>
      </c>
      <c r="G11">
        <v>-6917.1061999993399</v>
      </c>
      <c r="H11">
        <v>0</v>
      </c>
      <c r="I11">
        <v>5191606.5652000001</v>
      </c>
      <c r="J11">
        <v>473230.52666000067</v>
      </c>
      <c r="K11">
        <v>421245.28994600067</v>
      </c>
      <c r="L11">
        <v>3154870.177733338</v>
      </c>
      <c r="M11">
        <v>5.2277675888006483</v>
      </c>
      <c r="N11">
        <v>993082.89380000066</v>
      </c>
      <c r="O11">
        <v>33022</v>
      </c>
      <c r="P11">
        <v>155.66</v>
      </c>
      <c r="Q11">
        <v>157.42606963236628</v>
      </c>
      <c r="R11">
        <v>5191606.5652000001</v>
      </c>
      <c r="S11">
        <v>0</v>
      </c>
      <c r="T11">
        <v>-56244.203599999659</v>
      </c>
      <c r="U11">
        <v>519852.36713999999</v>
      </c>
      <c r="V11">
        <v>571837.60385399999</v>
      </c>
      <c r="W11">
        <v>5198523.6713999994</v>
      </c>
      <c r="X11" s="4" t="s">
        <v>28</v>
      </c>
      <c r="Y11" s="4" t="s">
        <v>29</v>
      </c>
      <c r="Z11" s="4" t="s">
        <v>29</v>
      </c>
      <c r="AA11" s="4" t="s">
        <v>29</v>
      </c>
      <c r="AB11">
        <v>209569.72779999999</v>
      </c>
    </row>
    <row r="12" spans="1:28" x14ac:dyDescent="0.4">
      <c r="A12" s="2">
        <v>44591</v>
      </c>
      <c r="B12" s="1">
        <v>0.85649305555555555</v>
      </c>
      <c r="C12">
        <v>1643546001.6702399</v>
      </c>
      <c r="D12">
        <v>-4374763.4799999995</v>
      </c>
      <c r="E12">
        <v>0</v>
      </c>
      <c r="F12">
        <v>993082.89380000066</v>
      </c>
      <c r="G12">
        <v>-6917.1061999993399</v>
      </c>
      <c r="H12">
        <v>0</v>
      </c>
      <c r="I12">
        <v>5367846.3738000002</v>
      </c>
      <c r="J12">
        <v>455606.54580000066</v>
      </c>
      <c r="K12">
        <v>401858.91100000066</v>
      </c>
      <c r="L12">
        <v>3037376.9720000043</v>
      </c>
      <c r="M12">
        <v>5.4052349580407171</v>
      </c>
      <c r="N12">
        <v>993082.89380000066</v>
      </c>
      <c r="O12">
        <v>34143</v>
      </c>
      <c r="P12">
        <v>155.66</v>
      </c>
      <c r="Q12">
        <v>157.41919222095305</v>
      </c>
      <c r="R12">
        <v>5367846.3738000002</v>
      </c>
      <c r="S12">
        <v>0</v>
      </c>
      <c r="T12">
        <v>-58319.151399999857</v>
      </c>
      <c r="U12">
        <v>537476.348</v>
      </c>
      <c r="V12">
        <v>591223.9828</v>
      </c>
      <c r="W12">
        <v>5374763.4799999995</v>
      </c>
      <c r="X12" s="4" t="s">
        <v>28</v>
      </c>
      <c r="Y12" s="4" t="s">
        <v>29</v>
      </c>
      <c r="Z12" s="4" t="s">
        <v>29</v>
      </c>
      <c r="AA12" s="4" t="s">
        <v>29</v>
      </c>
      <c r="AB12">
        <v>176239.80859999999</v>
      </c>
    </row>
    <row r="13" spans="1:28" x14ac:dyDescent="0.4">
      <c r="A13" s="2">
        <v>44591</v>
      </c>
      <c r="B13" s="1">
        <v>0.85649305555555555</v>
      </c>
      <c r="C13">
        <v>1643546001.720957</v>
      </c>
      <c r="D13">
        <v>-4522861.5171999997</v>
      </c>
      <c r="E13">
        <v>0</v>
      </c>
      <c r="F13">
        <v>993082.89380000066</v>
      </c>
      <c r="G13">
        <v>-6917.1061999993399</v>
      </c>
      <c r="H13">
        <v>0</v>
      </c>
      <c r="I13">
        <v>5515944.4110000003</v>
      </c>
      <c r="J13">
        <v>440796.74208000069</v>
      </c>
      <c r="K13">
        <v>385568.12690800068</v>
      </c>
      <c r="L13">
        <v>2938644.9472000045</v>
      </c>
      <c r="M13">
        <v>5.5543645403994537</v>
      </c>
      <c r="N13">
        <v>993082.89380000066</v>
      </c>
      <c r="O13">
        <v>35085</v>
      </c>
      <c r="P13">
        <v>155.66</v>
      </c>
      <c r="Q13">
        <v>157.41375280604245</v>
      </c>
      <c r="R13">
        <v>5515944.4110000003</v>
      </c>
      <c r="S13">
        <v>0</v>
      </c>
      <c r="T13">
        <v>-60064.099999999627</v>
      </c>
      <c r="U13">
        <v>552286.15171999997</v>
      </c>
      <c r="V13">
        <v>607514.76689199999</v>
      </c>
      <c r="W13">
        <v>5522861.5171999997</v>
      </c>
      <c r="X13" s="4" t="s">
        <v>28</v>
      </c>
      <c r="Y13" s="4" t="s">
        <v>29</v>
      </c>
      <c r="Z13" s="4" t="s">
        <v>29</v>
      </c>
      <c r="AA13" s="4" t="s">
        <v>29</v>
      </c>
      <c r="AB13">
        <v>148098.03719999999</v>
      </c>
    </row>
    <row r="14" spans="1:28" x14ac:dyDescent="0.4">
      <c r="A14" s="2">
        <v>44591</v>
      </c>
      <c r="B14" s="1">
        <v>0.85649305555555555</v>
      </c>
      <c r="C14">
        <v>1643546001.7777519</v>
      </c>
      <c r="D14">
        <v>-4647377.0643999996</v>
      </c>
      <c r="E14">
        <v>0</v>
      </c>
      <c r="F14">
        <v>993082.89380000066</v>
      </c>
      <c r="G14">
        <v>-6917.1061999993399</v>
      </c>
      <c r="H14">
        <v>0</v>
      </c>
      <c r="I14">
        <v>5640459.9582000002</v>
      </c>
      <c r="J14">
        <v>428345.18736000068</v>
      </c>
      <c r="K14">
        <v>371871.41671600065</v>
      </c>
      <c r="L14">
        <v>2855634.5824000048</v>
      </c>
      <c r="M14">
        <v>5.6797473739749522</v>
      </c>
      <c r="N14">
        <v>993082.89380000066</v>
      </c>
      <c r="O14">
        <v>35877</v>
      </c>
      <c r="P14">
        <v>155.66</v>
      </c>
      <c r="Q14">
        <v>157.40940057418402</v>
      </c>
      <c r="R14">
        <v>5640459.9582000002</v>
      </c>
      <c r="S14">
        <v>0</v>
      </c>
      <c r="T14">
        <v>-61530.417200000025</v>
      </c>
      <c r="U14">
        <v>564737.70643999998</v>
      </c>
      <c r="V14">
        <v>621211.47708400001</v>
      </c>
      <c r="W14">
        <v>5647377.0643999996</v>
      </c>
      <c r="X14" s="4" t="s">
        <v>28</v>
      </c>
      <c r="Y14" s="4" t="s">
        <v>29</v>
      </c>
      <c r="Z14" s="4" t="s">
        <v>29</v>
      </c>
      <c r="AA14" s="4" t="s">
        <v>29</v>
      </c>
      <c r="AB14">
        <v>124515.5472</v>
      </c>
    </row>
    <row r="15" spans="1:28" x14ac:dyDescent="0.4">
      <c r="A15" s="2">
        <v>44591</v>
      </c>
      <c r="B15" s="1">
        <v>0.85649305555555555</v>
      </c>
      <c r="C15">
        <v>1643546001.8148329</v>
      </c>
      <c r="D15">
        <v>-4752083.3199999994</v>
      </c>
      <c r="E15">
        <v>0</v>
      </c>
      <c r="F15">
        <v>993082.89380000066</v>
      </c>
      <c r="G15">
        <v>-6917.1061999993399</v>
      </c>
      <c r="H15">
        <v>0</v>
      </c>
      <c r="I15">
        <v>5745166.2138</v>
      </c>
      <c r="J15">
        <v>417874.56180000072</v>
      </c>
      <c r="K15">
        <v>360353.72860000073</v>
      </c>
      <c r="L15">
        <v>2785830.4120000047</v>
      </c>
      <c r="M15">
        <v>5.7851829385725306</v>
      </c>
      <c r="N15">
        <v>993082.89380000066</v>
      </c>
      <c r="O15">
        <v>36543</v>
      </c>
      <c r="P15">
        <v>155.66</v>
      </c>
      <c r="Q15">
        <v>157.40588676353883</v>
      </c>
      <c r="R15">
        <v>5745166.2138</v>
      </c>
      <c r="S15">
        <v>0</v>
      </c>
      <c r="T15">
        <v>-62763.244399999268</v>
      </c>
      <c r="U15">
        <v>575208.33199999994</v>
      </c>
      <c r="V15">
        <v>632729.16519999993</v>
      </c>
      <c r="W15">
        <v>5752083.3199999994</v>
      </c>
      <c r="X15" s="4" t="s">
        <v>28</v>
      </c>
      <c r="Y15" s="4" t="s">
        <v>29</v>
      </c>
      <c r="Z15" s="4" t="s">
        <v>29</v>
      </c>
      <c r="AA15" s="4" t="s">
        <v>29</v>
      </c>
      <c r="AB15">
        <v>104706.2556</v>
      </c>
    </row>
    <row r="16" spans="1:28" x14ac:dyDescent="0.4">
      <c r="A16" s="2">
        <v>44591</v>
      </c>
      <c r="B16" s="1">
        <v>0.85649305555555555</v>
      </c>
      <c r="C16">
        <v>1643546001.8740051</v>
      </c>
      <c r="D16">
        <v>-4840124.6159999995</v>
      </c>
      <c r="E16">
        <v>0</v>
      </c>
      <c r="F16">
        <v>993082.89380000066</v>
      </c>
      <c r="G16">
        <v>-6917.1061999993399</v>
      </c>
      <c r="H16">
        <v>0</v>
      </c>
      <c r="I16">
        <v>5833207.5098000001</v>
      </c>
      <c r="J16">
        <v>409070.43220000074</v>
      </c>
      <c r="K16">
        <v>350669.18604000076</v>
      </c>
      <c r="L16">
        <v>2727136.2146666716</v>
      </c>
      <c r="M16">
        <v>5.8738374673632867</v>
      </c>
      <c r="N16">
        <v>993082.89380000066</v>
      </c>
      <c r="O16">
        <v>37103</v>
      </c>
      <c r="P16">
        <v>155.66</v>
      </c>
      <c r="Q16">
        <v>157.40302983586233</v>
      </c>
      <c r="R16">
        <v>5833207.5098000001</v>
      </c>
      <c r="S16">
        <v>0</v>
      </c>
      <c r="T16">
        <v>-63799.939999999478</v>
      </c>
      <c r="U16">
        <v>584012.46159999992</v>
      </c>
      <c r="V16">
        <v>642413.7077599999</v>
      </c>
      <c r="W16">
        <v>5840124.6159999995</v>
      </c>
      <c r="X16" s="4" t="s">
        <v>28</v>
      </c>
      <c r="Y16" s="4" t="s">
        <v>29</v>
      </c>
      <c r="Z16" s="4" t="s">
        <v>29</v>
      </c>
      <c r="AA16" s="4" t="s">
        <v>29</v>
      </c>
      <c r="AB16">
        <v>88041.296000000002</v>
      </c>
    </row>
    <row r="17" spans="1:28" x14ac:dyDescent="0.4">
      <c r="A17" s="2">
        <v>44591</v>
      </c>
      <c r="B17" s="1">
        <v>0.85649305555555555</v>
      </c>
      <c r="C17">
        <v>1643546001.918674</v>
      </c>
      <c r="D17">
        <v>-4914173.6345999995</v>
      </c>
      <c r="E17">
        <v>0</v>
      </c>
      <c r="F17">
        <v>993082.89380000066</v>
      </c>
      <c r="G17">
        <v>-6917.1061999993399</v>
      </c>
      <c r="H17">
        <v>0</v>
      </c>
      <c r="I17">
        <v>5907256.5284000002</v>
      </c>
      <c r="J17">
        <v>401665.53034000064</v>
      </c>
      <c r="K17">
        <v>342523.79399400076</v>
      </c>
      <c r="L17">
        <v>2677770.2022666708</v>
      </c>
      <c r="M17">
        <v>5.9484022585426555</v>
      </c>
      <c r="N17">
        <v>993082.89380000066</v>
      </c>
      <c r="O17">
        <v>37574</v>
      </c>
      <c r="P17">
        <v>155.66</v>
      </c>
      <c r="Q17">
        <v>157.40069288869961</v>
      </c>
      <c r="R17">
        <v>5907256.5284000002</v>
      </c>
      <c r="S17">
        <v>0</v>
      </c>
      <c r="T17">
        <v>-64671.63599999994</v>
      </c>
      <c r="U17">
        <v>591417.36346000002</v>
      </c>
      <c r="V17">
        <v>650559.0998059999</v>
      </c>
      <c r="W17">
        <v>5914173.6345999995</v>
      </c>
      <c r="X17" s="4" t="s">
        <v>28</v>
      </c>
      <c r="Y17" s="4" t="s">
        <v>29</v>
      </c>
      <c r="Z17" s="4" t="s">
        <v>29</v>
      </c>
      <c r="AA17" s="4" t="s">
        <v>29</v>
      </c>
      <c r="AB17">
        <v>74049.018599999996</v>
      </c>
    </row>
    <row r="18" spans="1:28" x14ac:dyDescent="0.4">
      <c r="A18" s="2">
        <v>44591</v>
      </c>
      <c r="B18" s="1">
        <v>0.85649305555555555</v>
      </c>
      <c r="C18">
        <v>1643546001.9735391</v>
      </c>
      <c r="D18">
        <v>-4976431.4081999995</v>
      </c>
      <c r="E18">
        <v>0</v>
      </c>
      <c r="F18">
        <v>993082.89380000066</v>
      </c>
      <c r="G18">
        <v>-6917.1061999993399</v>
      </c>
      <c r="H18">
        <v>0</v>
      </c>
      <c r="I18">
        <v>5969514.3020000001</v>
      </c>
      <c r="J18">
        <v>395439.75298000069</v>
      </c>
      <c r="K18">
        <v>335675.43889800075</v>
      </c>
      <c r="L18">
        <v>2636265.0198666714</v>
      </c>
      <c r="M18">
        <v>6.0110936753304047</v>
      </c>
      <c r="N18">
        <v>993082.89380000066</v>
      </c>
      <c r="O18">
        <v>37970</v>
      </c>
      <c r="P18">
        <v>155.66</v>
      </c>
      <c r="Q18">
        <v>157.3987729312615</v>
      </c>
      <c r="R18">
        <v>5969514.3020000001</v>
      </c>
      <c r="S18">
        <v>0</v>
      </c>
      <c r="T18">
        <v>-65404.794599999674</v>
      </c>
      <c r="U18">
        <v>597643.14081999997</v>
      </c>
      <c r="V18">
        <v>657407.45490199991</v>
      </c>
      <c r="W18">
        <v>5976431.4081999995</v>
      </c>
      <c r="X18" s="4" t="s">
        <v>28</v>
      </c>
      <c r="Y18" s="4" t="s">
        <v>29</v>
      </c>
      <c r="Z18" s="4" t="s">
        <v>29</v>
      </c>
      <c r="AA18" s="4" t="s">
        <v>29</v>
      </c>
      <c r="AB18">
        <v>62257.7736</v>
      </c>
    </row>
    <row r="19" spans="1:28" x14ac:dyDescent="0.4">
      <c r="A19" s="2">
        <v>44591</v>
      </c>
      <c r="B19" s="1">
        <v>0.85650462962962959</v>
      </c>
      <c r="C19">
        <v>1643546002.0265279</v>
      </c>
      <c r="D19">
        <v>-5030688.5576999998</v>
      </c>
      <c r="E19">
        <v>0</v>
      </c>
      <c r="F19">
        <v>995000.37880000006</v>
      </c>
      <c r="G19">
        <v>-4999.6211999999359</v>
      </c>
      <c r="H19">
        <v>0</v>
      </c>
      <c r="I19">
        <v>6025688.9364999998</v>
      </c>
      <c r="J19">
        <v>391931.52303000004</v>
      </c>
      <c r="K19">
        <v>331624.63745300006</v>
      </c>
      <c r="L19">
        <v>2612876.8202000004</v>
      </c>
      <c r="M19">
        <v>6.0559664748742703</v>
      </c>
      <c r="N19">
        <v>995000.37880000006</v>
      </c>
      <c r="O19">
        <v>38315</v>
      </c>
      <c r="P19">
        <v>155.71</v>
      </c>
      <c r="Q19">
        <v>157.39758730784288</v>
      </c>
      <c r="R19">
        <v>6025688.9364999998</v>
      </c>
      <c r="S19">
        <v>0</v>
      </c>
      <c r="T19">
        <v>-64122.708199999295</v>
      </c>
      <c r="U19">
        <v>603068.85577000002</v>
      </c>
      <c r="V19">
        <v>663375.741347</v>
      </c>
      <c r="W19">
        <v>6030688.5576999998</v>
      </c>
      <c r="X19" s="4" t="s">
        <v>28</v>
      </c>
      <c r="Y19" s="4" t="s">
        <v>29</v>
      </c>
      <c r="Z19" s="4" t="s">
        <v>29</v>
      </c>
      <c r="AA19" s="4" t="s">
        <v>29</v>
      </c>
      <c r="AB19">
        <v>54257.1495</v>
      </c>
    </row>
    <row r="20" spans="1:28" x14ac:dyDescent="0.4">
      <c r="A20" s="2">
        <v>44591</v>
      </c>
      <c r="B20" s="1">
        <v>0.85650462962962959</v>
      </c>
      <c r="C20">
        <v>1643546002.0714171</v>
      </c>
      <c r="D20">
        <v>-5075978.5736999996</v>
      </c>
      <c r="E20">
        <v>0</v>
      </c>
      <c r="F20">
        <v>994613.39729999937</v>
      </c>
      <c r="G20">
        <v>-5386.6027000006288</v>
      </c>
      <c r="H20">
        <v>0</v>
      </c>
      <c r="I20">
        <v>6070591.970999999</v>
      </c>
      <c r="J20">
        <v>387015.53992999939</v>
      </c>
      <c r="K20">
        <v>326255.75419299945</v>
      </c>
      <c r="L20">
        <v>2580103.5995333293</v>
      </c>
      <c r="M20">
        <v>6.1034689332351331</v>
      </c>
      <c r="N20">
        <v>994613.39729999937</v>
      </c>
      <c r="O20">
        <v>38603</v>
      </c>
      <c r="P20">
        <v>155.69999999999999</v>
      </c>
      <c r="Q20">
        <v>157.39653844778903</v>
      </c>
      <c r="R20">
        <v>6070591.970999999</v>
      </c>
      <c r="S20">
        <v>0</v>
      </c>
      <c r="T20">
        <v>-65043.057699999772</v>
      </c>
      <c r="U20">
        <v>607597.85736999998</v>
      </c>
      <c r="V20">
        <v>668357.64310699992</v>
      </c>
      <c r="W20">
        <v>6075978.5736999996</v>
      </c>
      <c r="X20" s="4" t="s">
        <v>28</v>
      </c>
      <c r="Y20" s="4" t="s">
        <v>29</v>
      </c>
      <c r="Z20" s="4" t="s">
        <v>29</v>
      </c>
      <c r="AA20" s="4" t="s">
        <v>29</v>
      </c>
      <c r="AB20">
        <v>45290.015999999996</v>
      </c>
    </row>
    <row r="21" spans="1:28" x14ac:dyDescent="0.4">
      <c r="A21" s="2">
        <v>44591</v>
      </c>
      <c r="B21" s="1">
        <v>0.85650462962962959</v>
      </c>
      <c r="C21">
        <v>1643546002.1190009</v>
      </c>
      <c r="D21">
        <v>-5114034.7676999997</v>
      </c>
      <c r="E21">
        <v>0</v>
      </c>
      <c r="F21">
        <v>994613.39729999937</v>
      </c>
      <c r="G21">
        <v>-5386.6027000006288</v>
      </c>
      <c r="H21">
        <v>0</v>
      </c>
      <c r="I21">
        <v>6108648.1649999991</v>
      </c>
      <c r="J21">
        <v>383209.92052999942</v>
      </c>
      <c r="K21">
        <v>322069.57285299944</v>
      </c>
      <c r="L21">
        <v>2554732.8035333292</v>
      </c>
      <c r="M21">
        <v>6.1417312310317529</v>
      </c>
      <c r="N21">
        <v>994613.39729999937</v>
      </c>
      <c r="O21">
        <v>38845</v>
      </c>
      <c r="P21">
        <v>155.69999999999999</v>
      </c>
      <c r="Q21">
        <v>157.3956691388853</v>
      </c>
      <c r="R21">
        <v>6108648.1649999991</v>
      </c>
      <c r="S21">
        <v>0</v>
      </c>
      <c r="T21">
        <v>-65491.473699999973</v>
      </c>
      <c r="U21">
        <v>611403.47676999995</v>
      </c>
      <c r="V21">
        <v>672543.82444699993</v>
      </c>
      <c r="W21">
        <v>6114034.7676999997</v>
      </c>
      <c r="X21" s="4" t="s">
        <v>28</v>
      </c>
      <c r="Y21" s="4" t="s">
        <v>29</v>
      </c>
      <c r="Z21" s="4" t="s">
        <v>29</v>
      </c>
      <c r="AA21" s="4" t="s">
        <v>29</v>
      </c>
      <c r="AB21">
        <v>38056.193999999996</v>
      </c>
    </row>
    <row r="22" spans="1:28" x14ac:dyDescent="0.4">
      <c r="A22" s="2">
        <v>44591</v>
      </c>
      <c r="B22" s="1">
        <v>0.85650462962962959</v>
      </c>
      <c r="C22">
        <v>1643546002.161571</v>
      </c>
      <c r="D22">
        <v>-5145957.9386999998</v>
      </c>
      <c r="E22">
        <v>0</v>
      </c>
      <c r="F22">
        <v>994613.39729999937</v>
      </c>
      <c r="G22">
        <v>-5386.6027000006288</v>
      </c>
      <c r="H22">
        <v>0</v>
      </c>
      <c r="I22">
        <v>6140571.3359999992</v>
      </c>
      <c r="J22">
        <v>380017.60342999932</v>
      </c>
      <c r="K22">
        <v>318558.02404299937</v>
      </c>
      <c r="L22">
        <v>2533450.6895333286</v>
      </c>
      <c r="M22">
        <v>6.1738272907537111</v>
      </c>
      <c r="N22">
        <v>994613.39729999937</v>
      </c>
      <c r="O22">
        <v>39048</v>
      </c>
      <c r="P22">
        <v>155.69999999999999</v>
      </c>
      <c r="Q22">
        <v>157.39494823550501</v>
      </c>
      <c r="R22">
        <v>6140571.3359999992</v>
      </c>
      <c r="S22">
        <v>0</v>
      </c>
      <c r="T22">
        <v>-65868.267699999735</v>
      </c>
      <c r="U22">
        <v>614595.79387000005</v>
      </c>
      <c r="V22">
        <v>676055.373257</v>
      </c>
      <c r="W22">
        <v>6145957.9386999998</v>
      </c>
      <c r="X22" s="4" t="s">
        <v>28</v>
      </c>
      <c r="Y22" s="4" t="s">
        <v>29</v>
      </c>
      <c r="Z22" s="4" t="s">
        <v>29</v>
      </c>
      <c r="AA22" s="4" t="s">
        <v>29</v>
      </c>
      <c r="AB22">
        <v>31923.170999999995</v>
      </c>
    </row>
    <row r="23" spans="1:28" x14ac:dyDescent="0.4">
      <c r="A23" s="2">
        <v>44591</v>
      </c>
      <c r="B23" s="1">
        <v>0.85650462962962959</v>
      </c>
      <c r="C23">
        <v>1643546002.202749</v>
      </c>
      <c r="D23">
        <v>-5172848.8856999995</v>
      </c>
      <c r="E23">
        <v>0</v>
      </c>
      <c r="F23">
        <v>994613.39729999937</v>
      </c>
      <c r="G23">
        <v>-5386.6027000006288</v>
      </c>
      <c r="H23">
        <v>0</v>
      </c>
      <c r="I23">
        <v>6167462.2829999989</v>
      </c>
      <c r="J23">
        <v>377328.50872999942</v>
      </c>
      <c r="K23">
        <v>315600.0198729994</v>
      </c>
      <c r="L23">
        <v>2515523.3915333296</v>
      </c>
      <c r="M23">
        <v>6.2008638730810741</v>
      </c>
      <c r="N23">
        <v>994613.39729999937</v>
      </c>
      <c r="O23">
        <v>39219</v>
      </c>
      <c r="P23">
        <v>155.69999999999999</v>
      </c>
      <c r="Q23">
        <v>157.3943467630485</v>
      </c>
      <c r="R23">
        <v>6167462.2829999989</v>
      </c>
      <c r="S23">
        <v>0</v>
      </c>
      <c r="T23">
        <v>-66184.338700000197</v>
      </c>
      <c r="U23">
        <v>617284.88856999995</v>
      </c>
      <c r="V23">
        <v>679013.37742699997</v>
      </c>
      <c r="W23">
        <v>6172848.8856999995</v>
      </c>
      <c r="X23" s="4" t="s">
        <v>28</v>
      </c>
      <c r="Y23" s="4" t="s">
        <v>29</v>
      </c>
      <c r="Z23" s="4" t="s">
        <v>29</v>
      </c>
      <c r="AA23" s="4" t="s">
        <v>29</v>
      </c>
      <c r="AB23">
        <v>26890.946999999996</v>
      </c>
    </row>
    <row r="24" spans="1:28" x14ac:dyDescent="0.4">
      <c r="A24" s="2">
        <v>44591</v>
      </c>
      <c r="B24" s="1">
        <v>0.85650462962962959</v>
      </c>
      <c r="C24">
        <v>1643546002.2405419</v>
      </c>
      <c r="D24">
        <v>-5195493.8936999999</v>
      </c>
      <c r="E24">
        <v>0</v>
      </c>
      <c r="F24">
        <v>994613.39729999937</v>
      </c>
      <c r="G24">
        <v>-5386.6027000006288</v>
      </c>
      <c r="H24">
        <v>0</v>
      </c>
      <c r="I24">
        <v>6190107.2909999993</v>
      </c>
      <c r="J24">
        <v>375064.00792999938</v>
      </c>
      <c r="K24">
        <v>313109.06899299938</v>
      </c>
      <c r="L24">
        <v>2500426.7195333294</v>
      </c>
      <c r="M24">
        <v>6.2236315213567481</v>
      </c>
      <c r="N24">
        <v>994613.39729999937</v>
      </c>
      <c r="O24">
        <v>39363</v>
      </c>
      <c r="P24">
        <v>155.69999999999999</v>
      </c>
      <c r="Q24">
        <v>157.39384431318751</v>
      </c>
      <c r="R24">
        <v>6190107.2909999993</v>
      </c>
      <c r="S24">
        <v>0</v>
      </c>
      <c r="T24">
        <v>-66450.585699999705</v>
      </c>
      <c r="U24">
        <v>619549.38936999999</v>
      </c>
      <c r="V24">
        <v>681504.32830699999</v>
      </c>
      <c r="W24">
        <v>6195493.8936999999</v>
      </c>
      <c r="X24" s="4" t="s">
        <v>28</v>
      </c>
      <c r="Y24" s="4" t="s">
        <v>29</v>
      </c>
      <c r="Z24" s="4" t="s">
        <v>29</v>
      </c>
      <c r="AA24" s="4" t="s">
        <v>29</v>
      </c>
      <c r="AB24">
        <v>22645.007999999998</v>
      </c>
    </row>
    <row r="25" spans="1:28" x14ac:dyDescent="0.4">
      <c r="A25" s="2">
        <v>44591</v>
      </c>
      <c r="B25" s="1">
        <v>0.85650462962962959</v>
      </c>
      <c r="C25">
        <v>1643546002.2738011</v>
      </c>
      <c r="D25">
        <v>-5213417.7374999998</v>
      </c>
      <c r="E25">
        <v>0</v>
      </c>
      <c r="F25">
        <v>993420.69840000011</v>
      </c>
      <c r="G25">
        <v>-6579.3015999998897</v>
      </c>
      <c r="H25">
        <v>0</v>
      </c>
      <c r="I25">
        <v>6206838.4358999999</v>
      </c>
      <c r="J25">
        <v>372078.92465000006</v>
      </c>
      <c r="K25">
        <v>309944.74727500009</v>
      </c>
      <c r="L25">
        <v>2480526.1643333337</v>
      </c>
      <c r="M25">
        <v>6.2479455540806752</v>
      </c>
      <c r="N25">
        <v>993420.69840000011</v>
      </c>
      <c r="O25">
        <v>39477</v>
      </c>
      <c r="P25">
        <v>155.66999999999999</v>
      </c>
      <c r="Q25">
        <v>157.39336164095548</v>
      </c>
      <c r="R25">
        <v>6206838.4358999999</v>
      </c>
      <c r="S25">
        <v>0</v>
      </c>
      <c r="T25">
        <v>-67855.683699999936</v>
      </c>
      <c r="U25">
        <v>621341.77375000005</v>
      </c>
      <c r="V25">
        <v>683475.95112500002</v>
      </c>
      <c r="W25">
        <v>6213417.7374999998</v>
      </c>
      <c r="X25" s="4" t="s">
        <v>28</v>
      </c>
      <c r="Y25" s="4" t="s">
        <v>29</v>
      </c>
      <c r="Z25" s="4" t="s">
        <v>29</v>
      </c>
      <c r="AA25" s="4" t="s">
        <v>29</v>
      </c>
      <c r="AB25">
        <v>17923.843799999999</v>
      </c>
    </row>
    <row r="26" spans="1:28" x14ac:dyDescent="0.4">
      <c r="A26" s="2">
        <v>44591</v>
      </c>
      <c r="B26" s="1">
        <v>0.85650462962962959</v>
      </c>
      <c r="C26">
        <v>1643546002.3164251</v>
      </c>
      <c r="D26">
        <v>-5228038.8812999995</v>
      </c>
      <c r="E26">
        <v>0</v>
      </c>
      <c r="F26">
        <v>993021.98070000019</v>
      </c>
      <c r="G26">
        <v>-6978.0192999998108</v>
      </c>
      <c r="H26">
        <v>0</v>
      </c>
      <c r="I26">
        <v>6221060.8619999997</v>
      </c>
      <c r="J26">
        <v>370218.09257000021</v>
      </c>
      <c r="K26">
        <v>307937.70375700027</v>
      </c>
      <c r="L26">
        <v>2468120.6171333347</v>
      </c>
      <c r="M26">
        <v>6.264776593983</v>
      </c>
      <c r="N26">
        <v>993021.98070000019</v>
      </c>
      <c r="O26">
        <v>39570</v>
      </c>
      <c r="P26">
        <v>155.66</v>
      </c>
      <c r="Q26">
        <v>157.39294620419508</v>
      </c>
      <c r="R26">
        <v>6221060.8619999997</v>
      </c>
      <c r="S26">
        <v>0</v>
      </c>
      <c r="T26">
        <v>-68427.917499999516</v>
      </c>
      <c r="U26">
        <v>622803.88812999998</v>
      </c>
      <c r="V26">
        <v>685084.27694299992</v>
      </c>
      <c r="W26">
        <v>6228038.8812999995</v>
      </c>
      <c r="X26" s="4" t="s">
        <v>28</v>
      </c>
      <c r="Y26" s="4" t="s">
        <v>29</v>
      </c>
      <c r="Z26" s="4" t="s">
        <v>29</v>
      </c>
      <c r="AA26" s="4" t="s">
        <v>29</v>
      </c>
      <c r="AB26">
        <v>14621.1438</v>
      </c>
    </row>
    <row r="34" spans="1:2" x14ac:dyDescent="0.4">
      <c r="A34" t="s">
        <v>30</v>
      </c>
      <c r="B34" s="3">
        <f ca="1">NOW()</f>
        <v>44592.73190590278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2CF3C-971B-4329-8160-60FF9EB090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real_time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2022-01-16T15:01:51Z</dcterms:created>
  <dcterms:modified xsi:type="dcterms:W3CDTF">2022-01-31T09:33:56Z</dcterms:modified>
</cp:coreProperties>
</file>