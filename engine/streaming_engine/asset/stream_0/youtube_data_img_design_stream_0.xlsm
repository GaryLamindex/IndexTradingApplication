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ml.chartshap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29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ser\Documents\GitHub\dynamodb_related\pythonProject\engine\streaming_engine\asset\stream_0\"/>
    </mc:Choice>
  </mc:AlternateContent>
  <xr:revisionPtr revIDLastSave="0" documentId="13_ncr:1_{D3D844A1-1973-44E0-AF66-1A24BAD1E46F}" xr6:coauthVersionLast="47" xr6:coauthVersionMax="47" xr10:uidLastSave="{00000000-0000-0000-0000-000000000000}"/>
  <bookViews>
    <workbookView xWindow="6420" yWindow="1800" windowWidth="24514" windowHeight="13029" xr2:uid="{4185C9B2-E90B-42AB-9274-D290DCA221FD}"/>
  </bookViews>
  <sheets>
    <sheet name="real_time" sheetId="4" r:id="rId1"/>
  </sheets>
  <definedNames>
    <definedName name="ExternalData_1" localSheetId="0" hidden="1">real_time!$A$1:$AF$31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62" i="4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ADE5EB21-D61D-4E17-A27E-0869D72FAD6E}" keepAlive="1" interval="1" name="Query - account_record" description="Connection to the 'account_record' query in the workbook." type="5" refreshedVersion="7" saveData="1">
    <dbPr connection="Provider=Microsoft.Mashup.OleDb.1;Data Source=$Workbook$;Location=account_record;Extended Properties=&quot;&quot;" command="SELECT * FROM [account_record]"/>
  </connection>
  <connection id="2" xr16:uid="{9736F262-BEA2-4421-AAE2-63F085367718}" keepAlive="1" interval="1" name="Query - real_time" description="Connection to the 'real_time' query in the workbook." type="5" refreshedVersion="7" saveData="1">
    <dbPr connection="Provider=Microsoft.Mashup.OleDb.1;Data Source=$Workbook$;Location=real_time;Extended Properties=&quot;&quot;" command="SELECT * FROM [real_time]"/>
  </connection>
</connections>
</file>

<file path=xl/sharedStrings.xml><?xml version="1.0" encoding="utf-8"?>
<sst xmlns="http://schemas.openxmlformats.org/spreadsheetml/2006/main" count="243" uniqueCount="87">
  <si>
    <t>timestamp</t>
  </si>
  <si>
    <t>TotalCashValue</t>
  </si>
  <si>
    <t>NetDividend</t>
  </si>
  <si>
    <t>NetLiquidation</t>
  </si>
  <si>
    <t>UnrealizedPnL</t>
  </si>
  <si>
    <t>RealizedPnL</t>
  </si>
  <si>
    <t>GrossPositionValue</t>
  </si>
  <si>
    <t>AvailableFunds</t>
  </si>
  <si>
    <t>ExcessLiquidity</t>
  </si>
  <si>
    <t>BuyingPower</t>
  </si>
  <si>
    <t>Leverage</t>
  </si>
  <si>
    <t>EquityWithLoanValue</t>
  </si>
  <si>
    <t>QQQ position</t>
  </si>
  <si>
    <t>QQQ marketPrice</t>
  </si>
  <si>
    <t>QQQ averageCost</t>
  </si>
  <si>
    <t>QQQ marketValue</t>
  </si>
  <si>
    <t>QQQ realizedPNL</t>
  </si>
  <si>
    <t>QQQ unrealizedPNL</t>
  </si>
  <si>
    <t>QQQ initMarginReq</t>
  </si>
  <si>
    <t>QQQ maintMarginReq</t>
  </si>
  <si>
    <t>QQQ costBasis</t>
  </si>
  <si>
    <t/>
  </si>
  <si>
    <t>Current Date</t>
    <phoneticPr fontId="1" type="noConversion"/>
  </si>
  <si>
    <t>date.1</t>
  </si>
  <si>
    <t>QQQ action</t>
  </si>
  <si>
    <t>QQQ totalQuantity</t>
  </si>
  <si>
    <t>QQQ avgPrice</t>
  </si>
  <si>
    <t>QQQ commission</t>
  </si>
  <si>
    <t>QQQ transaction_amount</t>
  </si>
  <si>
    <t>Column1</t>
  </si>
  <si>
    <t>_1</t>
  </si>
  <si>
    <t>_2</t>
  </si>
  <si>
    <t>date.2</t>
  </si>
  <si>
    <t>time</t>
  </si>
  <si>
    <t>-1951.6</t>
  </si>
  <si>
    <t>9671.0</t>
  </si>
  <si>
    <t>441.2000122</t>
  </si>
  <si>
    <t>4266845.32</t>
  </si>
  <si>
    <t>-5197.94</t>
  </si>
  <si>
    <t>440.96331785</t>
  </si>
  <si>
    <t>4264556.25</t>
  </si>
  <si>
    <t>-7487.01</t>
  </si>
  <si>
    <t>440.7411499</t>
  </si>
  <si>
    <t>4262407.66</t>
  </si>
  <si>
    <t>-9635.6</t>
  </si>
  <si>
    <t>440.91000365</t>
  </si>
  <si>
    <t>4264040.65</t>
  </si>
  <si>
    <t>-8002.61</t>
  </si>
  <si>
    <t>440.70947265</t>
  </si>
  <si>
    <t>4262101.31</t>
  </si>
  <si>
    <t>-9941.95</t>
  </si>
  <si>
    <t>441.0299988</t>
  </si>
  <si>
    <t>4265201.12</t>
  </si>
  <si>
    <t>-6842.14</t>
  </si>
  <si>
    <t>440.8710327</t>
  </si>
  <si>
    <t>4263663.76</t>
  </si>
  <si>
    <t>-8379.5</t>
  </si>
  <si>
    <t>441.01742555</t>
  </si>
  <si>
    <t>4265079.52</t>
  </si>
  <si>
    <t>-6963.74</t>
  </si>
  <si>
    <t>440.6784973</t>
  </si>
  <si>
    <t>4261801.75</t>
  </si>
  <si>
    <t>-10241.51</t>
  </si>
  <si>
    <t>440.9654236</t>
  </si>
  <si>
    <t>4264576.61</t>
  </si>
  <si>
    <t>-7466.65</t>
  </si>
  <si>
    <t>441.15600585</t>
  </si>
  <si>
    <t>4266419.73</t>
  </si>
  <si>
    <t>-5623.53</t>
  </si>
  <si>
    <t>441.1921997</t>
  </si>
  <si>
    <t>4266769.76</t>
  </si>
  <si>
    <t>-5273.5</t>
  </si>
  <si>
    <t>441.0763855</t>
  </si>
  <si>
    <t>4265649.72</t>
  </si>
  <si>
    <t>-6393.54</t>
  </si>
  <si>
    <t>440.7484436</t>
  </si>
  <si>
    <t>4262478.2</t>
  </si>
  <si>
    <t>-9565.06</t>
  </si>
  <si>
    <t>440.93600465</t>
  </si>
  <si>
    <t>4264292.1</t>
  </si>
  <si>
    <t>-7751.16</t>
  </si>
  <si>
    <t>440.49539185</t>
  </si>
  <si>
    <t>4260030.93</t>
  </si>
  <si>
    <t>-12012.33</t>
  </si>
  <si>
    <t>440.66885375</t>
  </si>
  <si>
    <t>4261708.48</t>
  </si>
  <si>
    <t>-10334.78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</si>
</sst>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[$-F400]h:mm:ss\ AM/PM"/>
  </numFmts>
  <fonts count="5" x14ac:knownFonts="1">
    <font>
      <sz val="11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  <font>
      <b/>
      <sz val="11"/>
      <color theme="0"/>
      <name val="Calibri"/>
      <family val="2"/>
    </font>
    <font>
      <sz val="11"/>
      <color theme="1"/>
      <name val="Calibri"/>
      <family val="2"/>
    </font>
    <font>
      <sz val="11"/>
      <color theme="0"/>
      <name val="新細明體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176" fontId="0" fillId="0" borderId="0" xfId="0" applyNumberFormat="1"/>
    <xf numFmtId="14" fontId="0" fillId="0" borderId="0" xfId="0" applyNumberFormat="1"/>
    <xf numFmtId="22" fontId="2" fillId="0" borderId="0" xfId="0" applyNumberFormat="1" applyFont="1"/>
    <xf numFmtId="0" fontId="0" fillId="0" borderId="0" xfId="0" applyNumberFormat="1"/>
    <xf numFmtId="0" fontId="3" fillId="0" borderId="0" xfId="0" applyFont="1"/>
    <xf numFmtId="0" fontId="4" fillId="0" borderId="0" xfId="0" applyFont="1"/>
  </cellXfs>
  <cellStyles count="1">
    <cellStyle name="Normal" xfId="0" builtinId="0"/>
  </cellStyles>
  <dxfs count="13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76" formatCode="[$-F400]h:mm:ss\ AM/PM"/>
    </dxf>
    <dxf>
      <numFmt numFmtId="176" formatCode="[$-F400]h:mm:ss\ AM/PM"/>
    </dxf>
    <dxf>
      <numFmt numFmtId="19" formatCode="m/d/yyyy"/>
    </dxf>
  </dxfs>
  <tableStyles count="0" defaultTableStyle="TableStyleMedium2" defaultPivotStyle="PivotStyleLight16"/>
  <colors>
    <mruColors>
      <color rgb="FF79768B"/>
      <color rgb="FF6A4BE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connections" Target="connections.xml"/><Relationship Id="rId7" Type="http://schemas.openxmlformats.org/officeDocument/2006/relationships/customXml" Target="../customXml/item1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microsoft.com/office/2011/relationships/chartColorStyle" Target="colors1.xml"/><Relationship Id="rId1" Type="http://schemas.microsoft.com/office/2011/relationships/chartStyle" Target="style1.xml"/><Relationship Id="rId4" Type="http://schemas.openxmlformats.org/officeDocument/2006/relationships/chartUserShapes" Target="../drawings/drawing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0802654908890955E-2"/>
          <c:y val="0.19895079597088375"/>
          <c:w val="0.50217938635473114"/>
          <c:h val="0.65553146246140748"/>
        </c:manualLayout>
      </c:layout>
      <c:lineChart>
        <c:grouping val="standard"/>
        <c:varyColors val="0"/>
        <c:ser>
          <c:idx val="0"/>
          <c:order val="0"/>
          <c:tx>
            <c:strRef>
              <c:f>real_time!$G$1</c:f>
              <c:strCache>
                <c:ptCount val="1"/>
                <c:pt idx="0">
                  <c:v>NetLiquidation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real_time!$B:$B</c:f>
              <c:strCache>
                <c:ptCount val="62"/>
                <c:pt idx="0">
                  <c:v>date.2</c:v>
                </c:pt>
                <c:pt idx="1">
                  <c:v>21:39:01</c:v>
                </c:pt>
                <c:pt idx="2">
                  <c:v>21:40:38</c:v>
                </c:pt>
                <c:pt idx="3">
                  <c:v>21:42:16</c:v>
                </c:pt>
                <c:pt idx="4">
                  <c:v>21:43:53</c:v>
                </c:pt>
                <c:pt idx="5">
                  <c:v>21:45:31</c:v>
                </c:pt>
                <c:pt idx="6">
                  <c:v>21:47:08</c:v>
                </c:pt>
                <c:pt idx="7">
                  <c:v>21:48:46</c:v>
                </c:pt>
                <c:pt idx="8">
                  <c:v>21:50:23</c:v>
                </c:pt>
                <c:pt idx="9">
                  <c:v>21:52:01</c:v>
                </c:pt>
                <c:pt idx="10">
                  <c:v>21:53:39</c:v>
                </c:pt>
                <c:pt idx="11">
                  <c:v>21:55:16</c:v>
                </c:pt>
                <c:pt idx="12">
                  <c:v>21:56:54</c:v>
                </c:pt>
                <c:pt idx="13">
                  <c:v>21:58:32</c:v>
                </c:pt>
                <c:pt idx="14">
                  <c:v>22:00:09</c:v>
                </c:pt>
                <c:pt idx="15">
                  <c:v>22:01:47</c:v>
                </c:pt>
                <c:pt idx="16">
                  <c:v>22:03:24</c:v>
                </c:pt>
                <c:pt idx="17">
                  <c:v>22:05:02</c:v>
                </c:pt>
                <c:pt idx="18">
                  <c:v>22:06:39</c:v>
                </c:pt>
                <c:pt idx="19">
                  <c:v>22:08:17</c:v>
                </c:pt>
                <c:pt idx="20">
                  <c:v>22:09:54</c:v>
                </c:pt>
                <c:pt idx="21">
                  <c:v>22:11:32</c:v>
                </c:pt>
                <c:pt idx="22">
                  <c:v>22:13:09</c:v>
                </c:pt>
                <c:pt idx="23">
                  <c:v>22:14:47</c:v>
                </c:pt>
                <c:pt idx="24">
                  <c:v>22:16:26</c:v>
                </c:pt>
                <c:pt idx="25">
                  <c:v>22:18:03</c:v>
                </c:pt>
                <c:pt idx="26">
                  <c:v>22:19:41</c:v>
                </c:pt>
                <c:pt idx="27">
                  <c:v>22:21:18</c:v>
                </c:pt>
                <c:pt idx="28">
                  <c:v>22:22:56</c:v>
                </c:pt>
                <c:pt idx="29">
                  <c:v>22:24:34</c:v>
                </c:pt>
                <c:pt idx="30">
                  <c:v>22:26:12</c:v>
                </c:pt>
                <c:pt idx="61">
                  <c:v>2/6/2022 16:27</c:v>
                </c:pt>
              </c:strCache>
            </c:strRef>
          </c:cat>
          <c:val>
            <c:numRef>
              <c:f>real_time!$G$2:$G$31</c:f>
              <c:numCache>
                <c:formatCode>General</c:formatCode>
                <c:ptCount val="30"/>
                <c:pt idx="0">
                  <c:v>1188293.3030000001</c:v>
                </c:pt>
                <c:pt idx="1">
                  <c:v>1185278.8015999999</c:v>
                </c:pt>
                <c:pt idx="2">
                  <c:v>1185278.8015999999</c:v>
                </c:pt>
                <c:pt idx="3">
                  <c:v>1181437.6671</c:v>
                </c:pt>
                <c:pt idx="4">
                  <c:v>1181437.6671</c:v>
                </c:pt>
                <c:pt idx="5">
                  <c:v>1184763.1998999999</c:v>
                </c:pt>
                <c:pt idx="6">
                  <c:v>1184763.1998999999</c:v>
                </c:pt>
                <c:pt idx="7">
                  <c:v>1181373.0035999999</c:v>
                </c:pt>
                <c:pt idx="8">
                  <c:v>1187253.8744999999</c:v>
                </c:pt>
                <c:pt idx="9">
                  <c:v>1187253.8744999999</c:v>
                </c:pt>
                <c:pt idx="10">
                  <c:v>1185232.7704</c:v>
                </c:pt>
                <c:pt idx="11">
                  <c:v>1185232.7704</c:v>
                </c:pt>
                <c:pt idx="12">
                  <c:v>1188583.1396999999</c:v>
                </c:pt>
                <c:pt idx="13">
                  <c:v>1188583.1396999999</c:v>
                </c:pt>
                <c:pt idx="14">
                  <c:v>1182645.3300999999</c:v>
                </c:pt>
                <c:pt idx="15">
                  <c:v>1182645.3300999999</c:v>
                </c:pt>
                <c:pt idx="16">
                  <c:v>1187959.2006999999</c:v>
                </c:pt>
                <c:pt idx="17">
                  <c:v>1187959.2006999999</c:v>
                </c:pt>
                <c:pt idx="18">
                  <c:v>1192099.6414000001</c:v>
                </c:pt>
                <c:pt idx="19">
                  <c:v>1192099.6414000001</c:v>
                </c:pt>
                <c:pt idx="20">
                  <c:v>1192812.3873999999</c:v>
                </c:pt>
                <c:pt idx="21">
                  <c:v>1189637.0848000001</c:v>
                </c:pt>
                <c:pt idx="22">
                  <c:v>1189637.0848000001</c:v>
                </c:pt>
                <c:pt idx="23">
                  <c:v>1181266.1483</c:v>
                </c:pt>
                <c:pt idx="24">
                  <c:v>1181266.1483</c:v>
                </c:pt>
                <c:pt idx="25">
                  <c:v>1185498.3987</c:v>
                </c:pt>
                <c:pt idx="26">
                  <c:v>1185498.3987</c:v>
                </c:pt>
                <c:pt idx="27">
                  <c:v>1176763.6214000001</c:v>
                </c:pt>
                <c:pt idx="28">
                  <c:v>1176763.6214000001</c:v>
                </c:pt>
                <c:pt idx="29">
                  <c:v>1179892.0325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F22-469F-9D47-6B85075BEC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10578704"/>
        <c:axId val="2010577040"/>
      </c:lineChart>
      <c:catAx>
        <c:axId val="20105787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600" b="0" i="0" u="none" strike="noStrike" kern="1200" baseline="0">
                <a:solidFill>
                  <a:srgbClr val="79768B"/>
                </a:solidFill>
                <a:latin typeface="+mn-lt"/>
                <a:ea typeface="+mn-ea"/>
                <a:cs typeface="+mn-cs"/>
              </a:defRPr>
            </a:pPr>
            <a:endParaRPr lang="zh-HK"/>
          </a:p>
        </c:txPr>
        <c:crossAx val="2010577040"/>
        <c:crossesAt val="4"/>
        <c:auto val="1"/>
        <c:lblAlgn val="ctr"/>
        <c:lblOffset val="100"/>
        <c:noMultiLvlLbl val="0"/>
      </c:catAx>
      <c:valAx>
        <c:axId val="2010577040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rgbClr val="79768B"/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22225" cap="flat" cmpd="sng" algn="ctr">
            <a:solidFill>
              <a:srgbClr val="79768B"/>
            </a:solidFill>
            <a:round/>
          </a:ln>
          <a:effectLst>
            <a:outerShdw blurRad="50800" dist="50800" dir="5400000" sx="5000" sy="5000" algn="ctr" rotWithShape="0">
              <a:srgbClr val="000000">
                <a:alpha val="43137"/>
              </a:srgbClr>
            </a:outerShdw>
          </a:effectLst>
        </c:spPr>
        <c:txPr>
          <a:bodyPr rot="-60000000" spcFirstLastPara="1" vertOverflow="ellipsis" vert="horz" wrap="square" anchor="ctr" anchorCtr="0"/>
          <a:lstStyle/>
          <a:p>
            <a:pPr>
              <a:defRPr sz="600" b="0" i="0" u="none" strike="noStrike" kern="1200" baseline="0">
                <a:solidFill>
                  <a:srgbClr val="79768B"/>
                </a:solidFill>
                <a:latin typeface="+mn-lt"/>
                <a:ea typeface="+mn-ea"/>
                <a:cs typeface="+mn-cs"/>
              </a:defRPr>
            </a:pPr>
            <a:endParaRPr lang="zh-HK"/>
          </a:p>
        </c:txPr>
        <c:crossAx val="2010578704"/>
        <c:crosses val="max"/>
        <c:crossBetween val="between"/>
        <c:dispUnits>
          <c:builtInUnit val="million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HK"/>
              </a:p>
            </c:txPr>
          </c:dispUnitsLbl>
        </c:dispUnits>
      </c:valAx>
      <c:spPr>
        <a:noFill/>
        <a:ln w="25400"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blipFill>
      <a:blip xmlns:r="http://schemas.openxmlformats.org/officeDocument/2006/relationships" r:embed="rId3"/>
      <a:stretch>
        <a:fillRect/>
      </a:stretch>
    </a:blip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baseline="0"/>
      </a:pPr>
      <a:endParaRPr lang="zh-HK"/>
    </a:p>
  </c:txPr>
  <c:printSettings>
    <c:headerFooter/>
    <c:pageMargins b="0.75" l="0.7" r="0.7" t="0.75" header="0.3" footer="0.3"/>
    <c:pageSetup orientation="portrait"/>
  </c:printSettings>
  <c:userShapes r:id="rId4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816427</xdr:colOff>
      <xdr:row>4</xdr:row>
      <xdr:rowOff>141988</xdr:rowOff>
    </xdr:from>
    <xdr:to>
      <xdr:col>12</xdr:col>
      <xdr:colOff>686274</xdr:colOff>
      <xdr:row>36</xdr:row>
      <xdr:rowOff>118754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52BBA8C7-D438-43B7-B380-96E58370F090}"/>
            </a:ext>
          </a:extLst>
        </xdr:cNvPr>
        <xdr:cNvGrpSpPr/>
      </xdr:nvGrpSpPr>
      <xdr:grpSpPr>
        <a:xfrm>
          <a:off x="3438464" y="918187"/>
          <a:ext cx="9269425" cy="6186356"/>
          <a:chOff x="3395868" y="918187"/>
          <a:chExt cx="9269424" cy="6186356"/>
        </a:xfrm>
      </xdr:grpSpPr>
      <xdr:graphicFrame macro="">
        <xdr:nvGraphicFramePr>
          <xdr:cNvPr id="2" name="Chart 1">
            <a:extLst>
              <a:ext uri="{FF2B5EF4-FFF2-40B4-BE49-F238E27FC236}">
                <a16:creationId xmlns:a16="http://schemas.microsoft.com/office/drawing/2014/main" id="{B9AF457A-4CF0-4FE7-84F3-F7DD541417D7}"/>
              </a:ext>
            </a:extLst>
          </xdr:cNvPr>
          <xdr:cNvGraphicFramePr>
            <a:graphicFrameLocks/>
          </xdr:cNvGraphicFramePr>
        </xdr:nvGraphicFramePr>
        <xdr:xfrm>
          <a:off x="3395868" y="918187"/>
          <a:ext cx="9269424" cy="618635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sp macro="" textlink="">
        <xdr:nvSpPr>
          <xdr:cNvPr id="3" name="TextBox 2">
            <a:extLst>
              <a:ext uri="{FF2B5EF4-FFF2-40B4-BE49-F238E27FC236}">
                <a16:creationId xmlns:a16="http://schemas.microsoft.com/office/drawing/2014/main" id="{C3BD3386-392B-4904-9833-77241820E9FD}"/>
              </a:ext>
            </a:extLst>
          </xdr:cNvPr>
          <xdr:cNvSpPr txBox="1"/>
        </xdr:nvSpPr>
        <xdr:spPr>
          <a:xfrm>
            <a:off x="5461788" y="1964161"/>
            <a:ext cx="970249" cy="326572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endParaRPr lang="zh-TW" altLang="en-US" sz="1100"/>
          </a:p>
        </xdr:txBody>
      </xdr:sp>
    </xdr:grpSp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0.05735</cdr:x>
      <cdr:y>0.05863</cdr:y>
    </cdr:from>
    <cdr:to>
      <cdr:x>0.6122</cdr:x>
      <cdr:y>0.19938</cdr:y>
    </cdr:to>
    <cdr:sp macro="" textlink="">
      <cdr:nvSpPr>
        <cdr:cNvPr id="6" name="TextBox 5">
          <a:extLst xmlns:a="http://schemas.openxmlformats.org/drawingml/2006/main">
            <a:ext uri="{FF2B5EF4-FFF2-40B4-BE49-F238E27FC236}">
              <a16:creationId xmlns:a16="http://schemas.microsoft.com/office/drawing/2014/main" id="{608E8E87-C885-4C09-AED7-5FBED9AA39AD}"/>
            </a:ext>
          </a:extLst>
        </cdr:cNvPr>
        <cdr:cNvSpPr txBox="1"/>
      </cdr:nvSpPr>
      <cdr:spPr>
        <a:xfrm xmlns:a="http://schemas.openxmlformats.org/drawingml/2006/main">
          <a:off x="434003" y="244176"/>
          <a:ext cx="4199014" cy="58621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HK" sz="2000" b="1">
              <a:solidFill>
                <a:schemeClr val="bg1"/>
              </a:solidFill>
            </a:rPr>
            <a:t>Net Liquidation</a:t>
          </a:r>
          <a:r>
            <a:rPr lang="en-HK" sz="2000" b="1" baseline="0">
              <a:solidFill>
                <a:schemeClr val="bg1"/>
              </a:solidFill>
            </a:rPr>
            <a:t> One Day Change</a:t>
          </a:r>
          <a:endParaRPr lang="en-HK" sz="2000" b="1">
            <a:solidFill>
              <a:schemeClr val="bg1"/>
            </a:solidFill>
          </a:endParaRPr>
        </a:p>
      </cdr:txBody>
    </cdr:sp>
  </cdr:relSizeAnchor>
  <cdr:relSizeAnchor xmlns:cdr="http://schemas.openxmlformats.org/drawingml/2006/chartDrawing">
    <cdr:from>
      <cdr:x>0.62455</cdr:x>
      <cdr:y>0.18655</cdr:y>
    </cdr:from>
    <cdr:to>
      <cdr:x>0.92867</cdr:x>
      <cdr:y>0.8545</cdr:y>
    </cdr:to>
    <cdr:pic>
      <cdr:nvPicPr>
        <cdr:cNvPr id="3" name="Picture 2">
          <a:extLst xmlns:a="http://schemas.openxmlformats.org/drawingml/2006/main">
            <a:ext uri="{FF2B5EF4-FFF2-40B4-BE49-F238E27FC236}">
              <a16:creationId xmlns:a16="http://schemas.microsoft.com/office/drawing/2014/main" id="{73B6F38F-5071-4902-8233-7AE0FE2CD53C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7001314" y="1199208"/>
          <a:ext cx="3409243" cy="4293870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0.84357</cdr:x>
      <cdr:y>0.34963</cdr:y>
    </cdr:from>
    <cdr:to>
      <cdr:x>0.97463</cdr:x>
      <cdr:y>0.40225</cdr:y>
    </cdr:to>
    <cdr:sp macro="" textlink="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800F7ACC-7B37-4D67-841A-901DD1256EA5}"/>
            </a:ext>
          </a:extLst>
        </cdr:cNvPr>
        <cdr:cNvSpPr txBox="1"/>
      </cdr:nvSpPr>
      <cdr:spPr>
        <a:xfrm xmlns:a="http://schemas.openxmlformats.org/drawingml/2006/main">
          <a:off x="6284395" y="1944365"/>
          <a:ext cx="976376" cy="292647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HK" sz="1100"/>
        </a:p>
      </cdr:txBody>
    </cdr:sp>
  </cdr:relSizeAnchor>
  <cdr:relSizeAnchor xmlns:cdr="http://schemas.openxmlformats.org/drawingml/2006/chartDrawing">
    <cdr:from>
      <cdr:x>0.85922</cdr:x>
      <cdr:y>0.38559</cdr:y>
    </cdr:from>
    <cdr:to>
      <cdr:x>0.93682</cdr:x>
      <cdr:y>0.47658</cdr:y>
    </cdr:to>
    <cdr:sp macro="" textlink="">
      <cdr:nvSpPr>
        <cdr:cNvPr id="7" name="TextBox 6">
          <a:extLst xmlns:a="http://schemas.openxmlformats.org/drawingml/2006/main">
            <a:ext uri="{FF2B5EF4-FFF2-40B4-BE49-F238E27FC236}">
              <a16:creationId xmlns:a16="http://schemas.microsoft.com/office/drawing/2014/main" id="{8D971D1C-7E00-4049-8F42-C441DC294C36}"/>
            </a:ext>
          </a:extLst>
        </cdr:cNvPr>
        <cdr:cNvSpPr txBox="1"/>
      </cdr:nvSpPr>
      <cdr:spPr>
        <a:xfrm xmlns:a="http://schemas.openxmlformats.org/drawingml/2006/main">
          <a:off x="7383235" y="2038350"/>
          <a:ext cx="666750" cy="48101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HK" sz="1100"/>
        </a:p>
      </cdr:txBody>
    </cdr:sp>
  </cdr:relSizeAnchor>
  <cdr:relSizeAnchor xmlns:cdr="http://schemas.openxmlformats.org/drawingml/2006/chartDrawing">
    <cdr:from>
      <cdr:x>0.74988</cdr:x>
      <cdr:y>0.03333</cdr:y>
    </cdr:from>
    <cdr:to>
      <cdr:x>0.79089</cdr:x>
      <cdr:y>0.14955</cdr:y>
    </cdr:to>
    <cdr:sp macro="" textlink="">
      <cdr:nvSpPr>
        <cdr:cNvPr id="8" name="TextBox 7">
          <a:extLst xmlns:a="http://schemas.openxmlformats.org/drawingml/2006/main">
            <a:ext uri="{FF2B5EF4-FFF2-40B4-BE49-F238E27FC236}">
              <a16:creationId xmlns:a16="http://schemas.microsoft.com/office/drawing/2014/main" id="{F7A0DB33-153A-4F8E-B668-6717C5EBEB76}"/>
            </a:ext>
          </a:extLst>
        </cdr:cNvPr>
        <cdr:cNvSpPr txBox="1"/>
      </cdr:nvSpPr>
      <cdr:spPr>
        <a:xfrm xmlns:a="http://schemas.openxmlformats.org/drawingml/2006/main">
          <a:off x="6443663" y="176213"/>
          <a:ext cx="352425" cy="61436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HK" sz="1100"/>
        </a:p>
      </cdr:txBody>
    </cdr:sp>
  </cdr:relSizeAnchor>
  <cdr:relSizeAnchor xmlns:cdr="http://schemas.openxmlformats.org/drawingml/2006/chartDrawing">
    <cdr:from>
      <cdr:x>0.84136</cdr:x>
      <cdr:y>0.27938</cdr:y>
    </cdr:from>
    <cdr:to>
      <cdr:x>0.98606</cdr:x>
      <cdr:y>0.35502</cdr:y>
    </cdr:to>
    <cdr:sp macro="" textlink="">
      <cdr:nvSpPr>
        <cdr:cNvPr id="9" name="TextBox 16">
          <a:extLst xmlns:a="http://schemas.openxmlformats.org/drawingml/2006/main">
            <a:ext uri="{FF2B5EF4-FFF2-40B4-BE49-F238E27FC236}">
              <a16:creationId xmlns:a16="http://schemas.microsoft.com/office/drawing/2014/main" id="{F5B45EF4-BCDF-4AE4-AFC3-4ADD74BBC0EE}"/>
            </a:ext>
          </a:extLst>
        </cdr:cNvPr>
        <cdr:cNvSpPr txBox="1"/>
      </cdr:nvSpPr>
      <cdr:spPr>
        <a:xfrm xmlns:a="http://schemas.openxmlformats.org/drawingml/2006/main">
          <a:off x="9371917" y="1795965"/>
          <a:ext cx="1611815" cy="48624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/>
        <a:p xmlns:a="http://schemas.openxmlformats.org/drawingml/2006/main">
          <a:endParaRPr lang="en-US" altLang="en-US" sz="1100"/>
        </a:p>
      </cdr:txBody>
    </cdr:sp>
  </cdr:relSizeAnchor>
  <cdr:relSizeAnchor xmlns:cdr="http://schemas.openxmlformats.org/drawingml/2006/chartDrawing">
    <cdr:from>
      <cdr:x>0.84168</cdr:x>
      <cdr:y>0.42402</cdr:y>
    </cdr:from>
    <cdr:to>
      <cdr:x>0.97356</cdr:x>
      <cdr:y>0.49156</cdr:y>
    </cdr:to>
    <cdr:sp macro="" textlink="">
      <cdr:nvSpPr>
        <cdr:cNvPr id="10" name="TextBox 18">
          <a:extLst xmlns:a="http://schemas.openxmlformats.org/drawingml/2006/main">
            <a:ext uri="{FF2B5EF4-FFF2-40B4-BE49-F238E27FC236}">
              <a16:creationId xmlns:a16="http://schemas.microsoft.com/office/drawing/2014/main" id="{F94B5918-3565-4F11-AD89-8BEF6A87B20B}"/>
            </a:ext>
          </a:extLst>
        </cdr:cNvPr>
        <cdr:cNvSpPr txBox="1"/>
      </cdr:nvSpPr>
      <cdr:spPr>
        <a:xfrm xmlns:a="http://schemas.openxmlformats.org/drawingml/2006/main">
          <a:off x="9435404" y="2725766"/>
          <a:ext cx="1478400" cy="434177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/>
        <a:p xmlns:a="http://schemas.openxmlformats.org/drawingml/2006/main">
          <a:endParaRPr lang="en-US" altLang="en-US" sz="1100"/>
        </a:p>
      </cdr:txBody>
    </cdr:sp>
  </cdr:relSizeAnchor>
  <cdr:relSizeAnchor xmlns:cdr="http://schemas.openxmlformats.org/drawingml/2006/chartDrawing">
    <cdr:from>
      <cdr:x>0.83855</cdr:x>
      <cdr:y>0.35227</cdr:y>
    </cdr:from>
    <cdr:to>
      <cdr:x>0.97863</cdr:x>
      <cdr:y>0.4163</cdr:y>
    </cdr:to>
    <cdr:sp macro="" textlink="">
      <cdr:nvSpPr>
        <cdr:cNvPr id="11" name="TextBox 19">
          <a:extLst xmlns:a="http://schemas.openxmlformats.org/drawingml/2006/main">
            <a:ext uri="{FF2B5EF4-FFF2-40B4-BE49-F238E27FC236}">
              <a16:creationId xmlns:a16="http://schemas.microsoft.com/office/drawing/2014/main" id="{770D1ABE-242D-4EB5-A4A9-1F380F442790}"/>
            </a:ext>
          </a:extLst>
        </cdr:cNvPr>
        <cdr:cNvSpPr txBox="1"/>
      </cdr:nvSpPr>
      <cdr:spPr>
        <a:xfrm xmlns:a="http://schemas.openxmlformats.org/drawingml/2006/main">
          <a:off x="8981834" y="2191703"/>
          <a:ext cx="1500414" cy="398369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/>
        <a:p xmlns:a="http://schemas.openxmlformats.org/drawingml/2006/main">
          <a:endParaRPr lang="en-US" altLang="en-US" sz="1100"/>
        </a:p>
      </cdr:txBody>
    </cdr:sp>
  </cdr:relSizeAnchor>
  <cdr:relSizeAnchor xmlns:cdr="http://schemas.openxmlformats.org/drawingml/2006/chartDrawing">
    <cdr:from>
      <cdr:x>0.84234</cdr:x>
      <cdr:y>0.50123</cdr:y>
    </cdr:from>
    <cdr:to>
      <cdr:x>0.97853</cdr:x>
      <cdr:y>0.56229</cdr:y>
    </cdr:to>
    <cdr:sp macro="" textlink="">
      <cdr:nvSpPr>
        <cdr:cNvPr id="12" name="TextBox 43">
          <a:extLst xmlns:a="http://schemas.openxmlformats.org/drawingml/2006/main">
            <a:ext uri="{FF2B5EF4-FFF2-40B4-BE49-F238E27FC236}">
              <a16:creationId xmlns:a16="http://schemas.microsoft.com/office/drawing/2014/main" id="{9FAC11AC-AEEB-4CDA-B41A-1E63C6945770}"/>
            </a:ext>
          </a:extLst>
        </cdr:cNvPr>
        <cdr:cNvSpPr txBox="1"/>
      </cdr:nvSpPr>
      <cdr:spPr>
        <a:xfrm xmlns:a="http://schemas.openxmlformats.org/drawingml/2006/main">
          <a:off x="9022355" y="3118480"/>
          <a:ext cx="1458748" cy="37989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/>
        <a:p xmlns:a="http://schemas.openxmlformats.org/drawingml/2006/main">
          <a:endParaRPr lang="en-US" altLang="en-US" sz="1100"/>
        </a:p>
      </cdr:txBody>
    </cdr:sp>
  </cdr:relSizeAnchor>
  <cdr:relSizeAnchor xmlns:cdr="http://schemas.openxmlformats.org/drawingml/2006/chartDrawing">
    <cdr:from>
      <cdr:x>0.84178</cdr:x>
      <cdr:y>0.57763</cdr:y>
    </cdr:from>
    <cdr:to>
      <cdr:x>0.99003</cdr:x>
      <cdr:y>0.65817</cdr:y>
    </cdr:to>
    <cdr:sp macro="" textlink="">
      <cdr:nvSpPr>
        <cdr:cNvPr id="13" name="TextBox 44">
          <a:extLst xmlns:a="http://schemas.openxmlformats.org/drawingml/2006/main">
            <a:ext uri="{FF2B5EF4-FFF2-40B4-BE49-F238E27FC236}">
              <a16:creationId xmlns:a16="http://schemas.microsoft.com/office/drawing/2014/main" id="{00027524-4CAF-4FD6-8960-5D93DFA25E74}"/>
            </a:ext>
          </a:extLst>
        </cdr:cNvPr>
        <cdr:cNvSpPr txBox="1"/>
      </cdr:nvSpPr>
      <cdr:spPr>
        <a:xfrm xmlns:a="http://schemas.openxmlformats.org/drawingml/2006/main">
          <a:off x="9016426" y="3593804"/>
          <a:ext cx="1587925" cy="50108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/>
        <a:p xmlns:a="http://schemas.openxmlformats.org/drawingml/2006/main">
          <a:endParaRPr lang="en-US" altLang="en-US" sz="1100"/>
        </a:p>
      </cdr:txBody>
    </cdr:sp>
  </cdr:relSizeAnchor>
  <cdr:relSizeAnchor xmlns:cdr="http://schemas.openxmlformats.org/drawingml/2006/chartDrawing">
    <cdr:from>
      <cdr:x>0.84272</cdr:x>
      <cdr:y>0.64893</cdr:y>
    </cdr:from>
    <cdr:to>
      <cdr:x>0.97043</cdr:x>
      <cdr:y>0.74245</cdr:y>
    </cdr:to>
    <cdr:sp macro="" textlink="">
      <cdr:nvSpPr>
        <cdr:cNvPr id="14" name="TextBox 45">
          <a:extLst xmlns:a="http://schemas.openxmlformats.org/drawingml/2006/main">
            <a:ext uri="{FF2B5EF4-FFF2-40B4-BE49-F238E27FC236}">
              <a16:creationId xmlns:a16="http://schemas.microsoft.com/office/drawing/2014/main" id="{62A00B25-173F-4B9D-A920-BFA909CDCF6A}"/>
            </a:ext>
          </a:extLst>
        </cdr:cNvPr>
        <cdr:cNvSpPr txBox="1"/>
      </cdr:nvSpPr>
      <cdr:spPr>
        <a:xfrm xmlns:a="http://schemas.openxmlformats.org/drawingml/2006/main">
          <a:off x="9026506" y="4037411"/>
          <a:ext cx="1367917" cy="581844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/>
        <a:p xmlns:a="http://schemas.openxmlformats.org/drawingml/2006/main">
          <a:endParaRPr lang="en-US" altLang="en-US" sz="1100"/>
        </a:p>
      </cdr:txBody>
    </cdr:sp>
  </cdr:relSizeAnchor>
  <cdr:relSizeAnchor xmlns:cdr="http://schemas.openxmlformats.org/drawingml/2006/chartDrawing">
    <cdr:from>
      <cdr:x>0.84287</cdr:x>
      <cdr:y>0.72297</cdr:y>
    </cdr:from>
    <cdr:to>
      <cdr:x>0.98382</cdr:x>
      <cdr:y>0.81541</cdr:y>
    </cdr:to>
    <cdr:sp macro="" textlink="">
      <cdr:nvSpPr>
        <cdr:cNvPr id="15" name="TextBox 46">
          <a:extLst xmlns:a="http://schemas.openxmlformats.org/drawingml/2006/main">
            <a:ext uri="{FF2B5EF4-FFF2-40B4-BE49-F238E27FC236}">
              <a16:creationId xmlns:a16="http://schemas.microsoft.com/office/drawing/2014/main" id="{6594E885-C3BD-4271-845B-44E0ECFEBD13}"/>
            </a:ext>
          </a:extLst>
        </cdr:cNvPr>
        <cdr:cNvSpPr txBox="1"/>
      </cdr:nvSpPr>
      <cdr:spPr>
        <a:xfrm xmlns:a="http://schemas.openxmlformats.org/drawingml/2006/main">
          <a:off x="9028138" y="4498052"/>
          <a:ext cx="1509733" cy="575125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/>
        <a:p xmlns:a="http://schemas.openxmlformats.org/drawingml/2006/main">
          <a:endParaRPr lang="en-US" altLang="en-US" sz="1100"/>
        </a:p>
      </cdr:txBody>
    </cdr:sp>
  </cdr:relSizeAnchor>
  <cdr:relSizeAnchor xmlns:cdr="http://schemas.openxmlformats.org/drawingml/2006/chartDrawing">
    <cdr:from>
      <cdr:x>0.84466</cdr:x>
      <cdr:y>0.79354</cdr:y>
    </cdr:from>
    <cdr:to>
      <cdr:x>0.98991</cdr:x>
      <cdr:y>0.89439</cdr:y>
    </cdr:to>
    <cdr:sp macro="" textlink="">
      <cdr:nvSpPr>
        <cdr:cNvPr id="16" name="TextBox 3">
          <a:extLst xmlns:a="http://schemas.openxmlformats.org/drawingml/2006/main">
            <a:ext uri="{FF2B5EF4-FFF2-40B4-BE49-F238E27FC236}">
              <a16:creationId xmlns:a16="http://schemas.microsoft.com/office/drawing/2014/main" id="{5DC0315C-C319-4EC5-932A-8FAE492F503E}"/>
            </a:ext>
          </a:extLst>
        </cdr:cNvPr>
        <cdr:cNvSpPr txBox="1"/>
      </cdr:nvSpPr>
      <cdr:spPr>
        <a:xfrm xmlns:a="http://schemas.openxmlformats.org/drawingml/2006/main">
          <a:off x="9047280" y="4937077"/>
          <a:ext cx="1555791" cy="627449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/>
        <a:p xmlns:a="http://schemas.openxmlformats.org/drawingml/2006/main">
          <a:endParaRPr lang="en-US" altLang="en-US" sz="1100"/>
        </a:p>
      </cdr:txBody>
    </cdr:sp>
  </cdr:relSizeAnchor>
  <cdr:relSizeAnchor xmlns:cdr="http://schemas.openxmlformats.org/drawingml/2006/chartDrawing">
    <cdr:from>
      <cdr:x>0.7419</cdr:x>
      <cdr:y>0.13231</cdr:y>
    </cdr:from>
    <cdr:to>
      <cdr:x>0.94299</cdr:x>
      <cdr:y>0.21454</cdr:y>
    </cdr:to>
    <cdr:sp macro="" textlink="real_time!$B$62">
      <cdr:nvSpPr>
        <cdr:cNvPr id="5" name="TextBox 4">
          <a:extLst xmlns:a="http://schemas.openxmlformats.org/drawingml/2006/main">
            <a:ext uri="{FF2B5EF4-FFF2-40B4-BE49-F238E27FC236}">
              <a16:creationId xmlns:a16="http://schemas.microsoft.com/office/drawing/2014/main" id="{ADBBD3B4-C880-4F45-B235-E03AFCE7A67B}"/>
            </a:ext>
          </a:extLst>
        </cdr:cNvPr>
        <cdr:cNvSpPr txBox="1"/>
      </cdr:nvSpPr>
      <cdr:spPr>
        <a:xfrm xmlns:a="http://schemas.openxmlformats.org/drawingml/2006/main">
          <a:off x="8316827" y="850531"/>
          <a:ext cx="2254298" cy="52860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fld id="{D0610AAB-72FE-49FA-8307-D55412A6D9C5}" type="TxLink">
            <a:rPr lang="en-US" altLang="en-US" sz="1100" b="1" i="0" u="none" strike="noStrike">
              <a:solidFill>
                <a:srgbClr val="FFFFFF"/>
              </a:solidFill>
              <a:latin typeface="Calibri"/>
              <a:ea typeface="新細明體"/>
              <a:cs typeface="Calibri"/>
            </a:rPr>
            <a:pPr/>
            <a:t>6/2/2022 16:27</a:t>
          </a:fld>
          <a:endParaRPr lang="zh-TW" altLang="en-US" sz="1100"/>
        </a:p>
      </cdr:txBody>
    </cdr:sp>
  </cdr:relSizeAnchor>
  <cdr:relSizeAnchor xmlns:cdr="http://schemas.openxmlformats.org/drawingml/2006/chartDrawing">
    <cdr:from>
      <cdr:x>0.265</cdr:x>
      <cdr:y>0.14872</cdr:y>
    </cdr:from>
    <cdr:to>
      <cdr:x>0.4145</cdr:x>
      <cdr:y>0.27797</cdr:y>
    </cdr:to>
    <cdr:sp macro="" textlink="">
      <cdr:nvSpPr>
        <cdr:cNvPr id="17" name="TextBox 16">
          <a:extLst xmlns:a="http://schemas.openxmlformats.org/drawingml/2006/main">
            <a:ext uri="{FF2B5EF4-FFF2-40B4-BE49-F238E27FC236}">
              <a16:creationId xmlns:a16="http://schemas.microsoft.com/office/drawing/2014/main" id="{14D0BC67-05EA-4CB3-B3EA-353D86405DC4}"/>
            </a:ext>
          </a:extLst>
        </cdr:cNvPr>
        <cdr:cNvSpPr txBox="1"/>
      </cdr:nvSpPr>
      <cdr:spPr>
        <a:xfrm xmlns:a="http://schemas.openxmlformats.org/drawingml/2006/main">
          <a:off x="2838458" y="925277"/>
          <a:ext cx="1601313" cy="80414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altLang="en-US" sz="1100"/>
        </a:p>
      </cdr:txBody>
    </cdr:sp>
  </cdr:relSizeAnchor>
  <cdr:relSizeAnchor xmlns:cdr="http://schemas.openxmlformats.org/drawingml/2006/chartDrawing">
    <cdr:from>
      <cdr:x>0.59884</cdr:x>
      <cdr:y>0.13182</cdr:y>
    </cdr:from>
    <cdr:to>
      <cdr:x>0.7487</cdr:x>
      <cdr:y>0.21193</cdr:y>
    </cdr:to>
    <cdr:sp macro="" textlink="">
      <cdr:nvSpPr>
        <cdr:cNvPr id="18" name="TextBox 17">
          <a:extLst xmlns:a="http://schemas.openxmlformats.org/drawingml/2006/main">
            <a:ext uri="{FF2B5EF4-FFF2-40B4-BE49-F238E27FC236}">
              <a16:creationId xmlns:a16="http://schemas.microsoft.com/office/drawing/2014/main" id="{1C3DB9C1-D111-4261-9CE6-2DCAED5F29FC}"/>
            </a:ext>
          </a:extLst>
        </cdr:cNvPr>
        <cdr:cNvSpPr txBox="1"/>
      </cdr:nvSpPr>
      <cdr:spPr>
        <a:xfrm xmlns:a="http://schemas.openxmlformats.org/drawingml/2006/main">
          <a:off x="6414198" y="820132"/>
          <a:ext cx="1605221" cy="49841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HK" altLang="zh-TW" sz="1100" b="1">
              <a:solidFill>
                <a:schemeClr val="bg1"/>
              </a:solidFill>
            </a:rPr>
            <a:t>Current Date Time is: </a:t>
          </a:r>
          <a:endParaRPr lang="zh-TW" altLang="en-US" sz="1100" b="1">
            <a:solidFill>
              <a:schemeClr val="bg1"/>
            </a:solidFill>
          </a:endParaRPr>
        </a:p>
      </cdr:txBody>
    </cdr:sp>
  </cdr:relSizeAnchor>
  <cdr:relSizeAnchor xmlns:cdr="http://schemas.openxmlformats.org/drawingml/2006/chartDrawing">
    <cdr:from>
      <cdr:x>0.06316</cdr:x>
      <cdr:y>0.1481</cdr:y>
    </cdr:from>
    <cdr:to>
      <cdr:x>0.28314</cdr:x>
      <cdr:y>0.21584</cdr:y>
    </cdr:to>
    <cdr:sp macro="" textlink="">
      <cdr:nvSpPr>
        <cdr:cNvPr id="19" name="TextBox 18">
          <a:extLst xmlns:a="http://schemas.openxmlformats.org/drawingml/2006/main">
            <a:ext uri="{FF2B5EF4-FFF2-40B4-BE49-F238E27FC236}">
              <a16:creationId xmlns:a16="http://schemas.microsoft.com/office/drawing/2014/main" id="{BED3C47D-01D3-4A43-BEF4-18E3EC16C27A}"/>
            </a:ext>
          </a:extLst>
        </cdr:cNvPr>
        <cdr:cNvSpPr txBox="1"/>
      </cdr:nvSpPr>
      <cdr:spPr>
        <a:xfrm xmlns:a="http://schemas.openxmlformats.org/drawingml/2006/main">
          <a:off x="703564" y="952080"/>
          <a:ext cx="2450374" cy="43542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HK" altLang="zh-TW" sz="1100" b="1">
              <a:solidFill>
                <a:schemeClr val="bg1"/>
              </a:solidFill>
            </a:rPr>
            <a:t>Current Net Liquidation</a:t>
          </a:r>
          <a:r>
            <a:rPr lang="en-HK" altLang="zh-TW" sz="1100" b="1" baseline="0">
              <a:solidFill>
                <a:schemeClr val="bg1"/>
              </a:solidFill>
            </a:rPr>
            <a:t> is (in HKD): </a:t>
          </a:r>
          <a:endParaRPr lang="zh-TW" altLang="en-US" sz="1100" b="1">
            <a:solidFill>
              <a:schemeClr val="bg1"/>
            </a:solidFill>
          </a:endParaRPr>
        </a:p>
      </cdr:txBody>
    </cdr:sp>
  </cdr:relSizeAnchor>
  <cdr:relSizeAnchor xmlns:cdr="http://schemas.openxmlformats.org/drawingml/2006/chartDrawing">
    <cdr:from>
      <cdr:x>0.71082</cdr:x>
      <cdr:y>0.42734</cdr:y>
    </cdr:from>
    <cdr:to>
      <cdr:x>0.78411</cdr:x>
      <cdr:y>0.51591</cdr:y>
    </cdr:to>
    <cdr:sp macro="" textlink="">
      <cdr:nvSpPr>
        <cdr:cNvPr id="20" name="TextBox 1">
          <a:extLst xmlns:a="http://schemas.openxmlformats.org/drawingml/2006/main">
            <a:ext uri="{FF2B5EF4-FFF2-40B4-BE49-F238E27FC236}">
              <a16:creationId xmlns:a16="http://schemas.microsoft.com/office/drawing/2014/main" id="{50C01E72-85D2-47D6-B333-9573F15E994C}"/>
            </a:ext>
          </a:extLst>
        </cdr:cNvPr>
        <cdr:cNvSpPr txBox="1"/>
      </cdr:nvSpPr>
      <cdr:spPr>
        <a:xfrm xmlns:a="http://schemas.openxmlformats.org/drawingml/2006/main">
          <a:off x="7917822" y="2747107"/>
          <a:ext cx="816430" cy="56940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HK" altLang="zh-TW" sz="1100" b="1">
              <a:solidFill>
                <a:schemeClr val="bg1"/>
              </a:solidFill>
            </a:rPr>
            <a:t>(in</a:t>
          </a:r>
          <a:r>
            <a:rPr lang="en-HK" altLang="zh-TW" sz="1100" b="1" baseline="0">
              <a:solidFill>
                <a:schemeClr val="bg1"/>
              </a:solidFill>
            </a:rPr>
            <a:t> HKD)</a:t>
          </a:r>
          <a:endParaRPr lang="zh-TW" altLang="en-US" sz="1100" b="1">
            <a:solidFill>
              <a:schemeClr val="bg1"/>
            </a:solidFill>
          </a:endParaRPr>
        </a:p>
      </cdr:txBody>
    </cdr:sp>
  </cdr:relSizeAnchor>
  <cdr:relSizeAnchor xmlns:cdr="http://schemas.openxmlformats.org/drawingml/2006/chartDrawing">
    <cdr:from>
      <cdr:x>0.81606</cdr:x>
      <cdr:y>0.34983</cdr:y>
    </cdr:from>
    <cdr:to>
      <cdr:x>0.88936</cdr:x>
      <cdr:y>0.43841</cdr:y>
    </cdr:to>
    <cdr:sp macro="" textlink="">
      <cdr:nvSpPr>
        <cdr:cNvPr id="21" name="TextBox 1">
          <a:extLst xmlns:a="http://schemas.openxmlformats.org/drawingml/2006/main">
            <a:ext uri="{FF2B5EF4-FFF2-40B4-BE49-F238E27FC236}">
              <a16:creationId xmlns:a16="http://schemas.microsoft.com/office/drawing/2014/main" id="{50C01E72-85D2-47D6-B333-9573F15E994C}"/>
            </a:ext>
          </a:extLst>
        </cdr:cNvPr>
        <cdr:cNvSpPr txBox="1"/>
      </cdr:nvSpPr>
      <cdr:spPr>
        <a:xfrm xmlns:a="http://schemas.openxmlformats.org/drawingml/2006/main">
          <a:off x="9090130" y="2248877"/>
          <a:ext cx="816430" cy="56940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HK" altLang="zh-TW" sz="1100" b="1">
              <a:solidFill>
                <a:schemeClr val="bg1"/>
              </a:solidFill>
            </a:rPr>
            <a:t>(%</a:t>
          </a:r>
          <a:r>
            <a:rPr lang="en-HK" altLang="zh-TW" sz="1100" b="1" baseline="0">
              <a:solidFill>
                <a:schemeClr val="bg1"/>
              </a:solidFill>
            </a:rPr>
            <a:t>)</a:t>
          </a:r>
          <a:endParaRPr lang="zh-TW" altLang="en-US" sz="1100" b="1">
            <a:solidFill>
              <a:schemeClr val="bg1"/>
            </a:solidFill>
          </a:endParaRPr>
        </a:p>
      </cdr:txBody>
    </cdr:sp>
  </cdr:relSizeAnchor>
  <cdr:relSizeAnchor xmlns:cdr="http://schemas.openxmlformats.org/drawingml/2006/chartDrawing">
    <cdr:from>
      <cdr:x>0.75968</cdr:x>
      <cdr:y>0.50158</cdr:y>
    </cdr:from>
    <cdr:to>
      <cdr:x>0.83298</cdr:x>
      <cdr:y>0.59016</cdr:y>
    </cdr:to>
    <cdr:sp macro="" textlink="">
      <cdr:nvSpPr>
        <cdr:cNvPr id="22" name="TextBox 1">
          <a:extLst xmlns:a="http://schemas.openxmlformats.org/drawingml/2006/main">
            <a:ext uri="{FF2B5EF4-FFF2-40B4-BE49-F238E27FC236}">
              <a16:creationId xmlns:a16="http://schemas.microsoft.com/office/drawing/2014/main" id="{50C01E72-85D2-47D6-B333-9573F15E994C}"/>
            </a:ext>
          </a:extLst>
        </cdr:cNvPr>
        <cdr:cNvSpPr txBox="1"/>
      </cdr:nvSpPr>
      <cdr:spPr>
        <a:xfrm xmlns:a="http://schemas.openxmlformats.org/drawingml/2006/main">
          <a:off x="8462108" y="3224404"/>
          <a:ext cx="816430" cy="56940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HK" altLang="zh-TW" sz="1100" b="1">
              <a:solidFill>
                <a:schemeClr val="bg1"/>
              </a:solidFill>
            </a:rPr>
            <a:t>(%</a:t>
          </a:r>
          <a:r>
            <a:rPr lang="en-HK" altLang="zh-TW" sz="1100" b="1" baseline="0">
              <a:solidFill>
                <a:schemeClr val="bg1"/>
              </a:solidFill>
            </a:rPr>
            <a:t>)</a:t>
          </a:r>
          <a:endParaRPr lang="zh-TW" altLang="en-US" sz="1100" b="1">
            <a:solidFill>
              <a:schemeClr val="bg1"/>
            </a:solidFill>
          </a:endParaRPr>
        </a:p>
      </cdr:txBody>
    </cdr:sp>
  </cdr:relSizeAnchor>
  <cdr:relSizeAnchor xmlns:cdr="http://schemas.openxmlformats.org/drawingml/2006/chartDrawing">
    <cdr:from>
      <cdr:x>0.6514</cdr:x>
      <cdr:y>0.65008</cdr:y>
    </cdr:from>
    <cdr:to>
      <cdr:x>0.72423</cdr:x>
      <cdr:y>0.73866</cdr:y>
    </cdr:to>
    <cdr:sp macro="" textlink="">
      <cdr:nvSpPr>
        <cdr:cNvPr id="23" name="TextBox 1">
          <a:extLst xmlns:a="http://schemas.openxmlformats.org/drawingml/2006/main">
            <a:ext uri="{FF2B5EF4-FFF2-40B4-BE49-F238E27FC236}">
              <a16:creationId xmlns:a16="http://schemas.microsoft.com/office/drawing/2014/main" id="{50C01E72-85D2-47D6-B333-9573F15E994C}"/>
            </a:ext>
          </a:extLst>
        </cdr:cNvPr>
        <cdr:cNvSpPr txBox="1"/>
      </cdr:nvSpPr>
      <cdr:spPr>
        <a:xfrm xmlns:a="http://schemas.openxmlformats.org/drawingml/2006/main">
          <a:off x="7302360" y="4178998"/>
          <a:ext cx="816430" cy="56940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HK" altLang="zh-TW" sz="1100" b="1">
              <a:solidFill>
                <a:schemeClr val="bg1"/>
              </a:solidFill>
            </a:rPr>
            <a:t>(%</a:t>
          </a:r>
          <a:r>
            <a:rPr lang="en-HK" altLang="zh-TW" sz="1100" b="1" baseline="0">
              <a:solidFill>
                <a:schemeClr val="bg1"/>
              </a:solidFill>
            </a:rPr>
            <a:t>)</a:t>
          </a:r>
          <a:endParaRPr lang="zh-TW" altLang="en-US" sz="1100" b="1">
            <a:solidFill>
              <a:schemeClr val="bg1"/>
            </a:solidFill>
          </a:endParaRPr>
        </a:p>
      </cdr:txBody>
    </cdr:sp>
  </cdr:relSizeAnchor>
  <cdr:relSizeAnchor xmlns:cdr="http://schemas.openxmlformats.org/drawingml/2006/chartDrawing">
    <cdr:from>
      <cdr:x>0.6839</cdr:x>
      <cdr:y>0.73019</cdr:y>
    </cdr:from>
    <cdr:to>
      <cdr:x>0.75673</cdr:x>
      <cdr:y>0.81877</cdr:y>
    </cdr:to>
    <cdr:sp macro="" textlink="">
      <cdr:nvSpPr>
        <cdr:cNvPr id="24" name="TextBox 1">
          <a:extLst xmlns:a="http://schemas.openxmlformats.org/drawingml/2006/main">
            <a:ext uri="{FF2B5EF4-FFF2-40B4-BE49-F238E27FC236}">
              <a16:creationId xmlns:a16="http://schemas.microsoft.com/office/drawing/2014/main" id="{50C01E72-85D2-47D6-B333-9573F15E994C}"/>
            </a:ext>
          </a:extLst>
        </cdr:cNvPr>
        <cdr:cNvSpPr txBox="1"/>
      </cdr:nvSpPr>
      <cdr:spPr>
        <a:xfrm xmlns:a="http://schemas.openxmlformats.org/drawingml/2006/main">
          <a:off x="7666613" y="4693975"/>
          <a:ext cx="816430" cy="56940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HK" altLang="zh-TW" sz="1100" b="1">
              <a:solidFill>
                <a:schemeClr val="bg1"/>
              </a:solidFill>
            </a:rPr>
            <a:t>(%</a:t>
          </a:r>
          <a:r>
            <a:rPr lang="en-HK" altLang="zh-TW" sz="1100" b="1" baseline="0">
              <a:solidFill>
                <a:schemeClr val="bg1"/>
              </a:solidFill>
            </a:rPr>
            <a:t>)</a:t>
          </a:r>
          <a:endParaRPr lang="zh-TW" altLang="en-US" sz="1100" b="1">
            <a:solidFill>
              <a:schemeClr val="bg1"/>
            </a:solidFill>
          </a:endParaRPr>
        </a:p>
      </cdr:txBody>
    </cdr:sp>
  </cdr:relSizeAnchor>
  <cdr:relSizeAnchor xmlns:cdr="http://schemas.openxmlformats.org/drawingml/2006/chartDrawing">
    <cdr:from>
      <cdr:x>0.68539</cdr:x>
      <cdr:y>0.79858</cdr:y>
    </cdr:from>
    <cdr:to>
      <cdr:x>0.75822</cdr:x>
      <cdr:y>0.88715</cdr:y>
    </cdr:to>
    <cdr:sp macro="" textlink="">
      <cdr:nvSpPr>
        <cdr:cNvPr id="25" name="TextBox 1">
          <a:extLst xmlns:a="http://schemas.openxmlformats.org/drawingml/2006/main">
            <a:ext uri="{FF2B5EF4-FFF2-40B4-BE49-F238E27FC236}">
              <a16:creationId xmlns:a16="http://schemas.microsoft.com/office/drawing/2014/main" id="{50C01E72-85D2-47D6-B333-9573F15E994C}"/>
            </a:ext>
          </a:extLst>
        </cdr:cNvPr>
        <cdr:cNvSpPr txBox="1"/>
      </cdr:nvSpPr>
      <cdr:spPr>
        <a:xfrm xmlns:a="http://schemas.openxmlformats.org/drawingml/2006/main">
          <a:off x="7683360" y="5133591"/>
          <a:ext cx="816430" cy="56940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HK" altLang="zh-TW" sz="1100" b="1">
              <a:solidFill>
                <a:schemeClr val="bg1"/>
              </a:solidFill>
            </a:rPr>
            <a:t>(%</a:t>
          </a:r>
          <a:r>
            <a:rPr lang="en-HK" altLang="zh-TW" sz="1100" b="1" baseline="0">
              <a:solidFill>
                <a:schemeClr val="bg1"/>
              </a:solidFill>
            </a:rPr>
            <a:t>)</a:t>
          </a:r>
          <a:endParaRPr lang="zh-TW" altLang="en-US" sz="1100" b="1">
            <a:solidFill>
              <a:schemeClr val="bg1"/>
            </a:solidFill>
          </a:endParaRPr>
        </a:p>
      </cdr:txBody>
    </cdr:sp>
  </cdr:relSizeAnchor>
  <cdr:relSizeAnchor xmlns:cdr="http://schemas.openxmlformats.org/drawingml/2006/chartDrawing">
    <cdr:from>
      <cdr:x>0.76681</cdr:x>
      <cdr:y>0.27689</cdr:y>
    </cdr:from>
    <cdr:to>
      <cdr:x>0.83964</cdr:x>
      <cdr:y>0.36546</cdr:y>
    </cdr:to>
    <cdr:sp macro="" textlink="">
      <cdr:nvSpPr>
        <cdr:cNvPr id="26" name="TextBox 1">
          <a:extLst xmlns:a="http://schemas.openxmlformats.org/drawingml/2006/main">
            <a:ext uri="{FF2B5EF4-FFF2-40B4-BE49-F238E27FC236}">
              <a16:creationId xmlns:a16="http://schemas.microsoft.com/office/drawing/2014/main" id="{50C01E72-85D2-47D6-B333-9573F15E994C}"/>
            </a:ext>
          </a:extLst>
        </cdr:cNvPr>
        <cdr:cNvSpPr txBox="1"/>
      </cdr:nvSpPr>
      <cdr:spPr>
        <a:xfrm xmlns:a="http://schemas.openxmlformats.org/drawingml/2006/main">
          <a:off x="8596086" y="1779954"/>
          <a:ext cx="816430" cy="56940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HK" altLang="zh-TW" sz="1100" b="1">
              <a:solidFill>
                <a:schemeClr val="bg1"/>
              </a:solidFill>
            </a:rPr>
            <a:t>(in</a:t>
          </a:r>
          <a:r>
            <a:rPr lang="en-HK" altLang="zh-TW" sz="1100" b="1" baseline="0">
              <a:solidFill>
                <a:schemeClr val="bg1"/>
              </a:solidFill>
            </a:rPr>
            <a:t> HKD)</a:t>
          </a:r>
          <a:endParaRPr lang="zh-TW" altLang="en-US" sz="1100" b="1">
            <a:solidFill>
              <a:schemeClr val="bg1"/>
            </a:solidFill>
          </a:endParaRPr>
        </a:p>
      </cdr:txBody>
    </cdr:sp>
  </cdr:relSizeAnchor>
</c:userShape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1" xr16:uid="{E34BC493-F58C-455D-9398-E219F4631906}" autoFormatId="16" applyNumberFormats="0" applyBorderFormats="0" applyFontFormats="0" applyPatternFormats="0" applyAlignmentFormats="0" applyWidthHeightFormats="0">
  <queryTableRefresh nextId="46">
    <queryTableFields count="32">
      <queryTableField id="34" name="date.1" tableColumnId="1"/>
      <queryTableField id="35" name="date.2" tableColumnId="23"/>
      <queryTableField id="32" name="Time" tableColumnId="32"/>
      <queryTableField id="2" name="timestamp" tableColumnId="2"/>
      <queryTableField id="3" name="TotalCashValue" tableColumnId="3"/>
      <queryTableField id="4" name="NetDividend" tableColumnId="4"/>
      <queryTableField id="5" name="NetLiquidation" tableColumnId="5"/>
      <queryTableField id="6" name="UnrealizedPnL" tableColumnId="6"/>
      <queryTableField id="7" name="RealizedPnL" tableColumnId="7"/>
      <queryTableField id="8" name="GrossPositionValue" tableColumnId="8"/>
      <queryTableField id="9" name="AvailableFunds" tableColumnId="9"/>
      <queryTableField id="10" name="ExcessLiquidity" tableColumnId="10"/>
      <queryTableField id="11" name="BuyingPower" tableColumnId="11"/>
      <queryTableField id="12" name="Leverage" tableColumnId="12"/>
      <queryTableField id="13" name="EquityWithLoanValue" tableColumnId="13"/>
      <queryTableField id="14" name="QQQ position" tableColumnId="14"/>
      <queryTableField id="15" name="QQQ marketPrice" tableColumnId="15"/>
      <queryTableField id="16" name="QQQ averageCost" tableColumnId="16"/>
      <queryTableField id="17" name="QQQ marketValue" tableColumnId="17"/>
      <queryTableField id="18" name="QQQ realizedPNL" tableColumnId="18"/>
      <queryTableField id="19" name="QQQ unrealizedPNL" tableColumnId="19"/>
      <queryTableField id="20" name="QQQ initMarginReq" tableColumnId="20"/>
      <queryTableField id="21" name="QQQ maintMarginReq" tableColumnId="21"/>
      <queryTableField id="22" name="QQQ costBasis" tableColumnId="22"/>
      <queryTableField id="36" name="QQQ action" tableColumnId="24"/>
      <queryTableField id="37" name="QQQ totalQuantity" tableColumnId="25"/>
      <queryTableField id="38" name="QQQ avgPrice" tableColumnId="26"/>
      <queryTableField id="39" name="QQQ commission" tableColumnId="27"/>
      <queryTableField id="40" name="QQQ transaction_amount" tableColumnId="28"/>
      <queryTableField id="41" name="Column1" tableColumnId="29"/>
      <queryTableField id="42" name="_1" tableColumnId="30"/>
      <queryTableField id="43" name="_2" tableColumnId="31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6861552F-4443-4C32-801F-C085651ACB5C}" name="account_record" displayName="account_record" ref="A1:AF31" tableType="queryTable" totalsRowShown="0">
  <autoFilter ref="A1:AF31" xr:uid="{6861552F-4443-4C32-801F-C085651ACB5C}"/>
  <tableColumns count="32">
    <tableColumn id="1" xr3:uid="{AA9605B0-504A-4B7C-B462-6DBAF9DF2528}" uniqueName="1" name="date.1" queryTableFieldId="34" dataDxfId="12"/>
    <tableColumn id="23" xr3:uid="{7B28601C-3284-48F1-98D3-088CC65F6B7B}" uniqueName="23" name="date.2" queryTableFieldId="35" dataDxfId="11"/>
    <tableColumn id="32" xr3:uid="{FF680AF3-98F2-4D79-8D72-1A5559551913}" uniqueName="32" name="time" queryTableFieldId="32" dataDxfId="10"/>
    <tableColumn id="2" xr3:uid="{380461AC-09C7-4F5C-B4B1-32CBFEE3E1C9}" uniqueName="2" name="timestamp" queryTableFieldId="2"/>
    <tableColumn id="3" xr3:uid="{A3D5912F-7D98-4D96-BE94-ACA4F6FBE096}" uniqueName="3" name="TotalCashValue" queryTableFieldId="3"/>
    <tableColumn id="4" xr3:uid="{B32AEBD5-B139-4752-B46D-ECB5BBA830F0}" uniqueName="4" name="NetDividend" queryTableFieldId="4"/>
    <tableColumn id="5" xr3:uid="{8E1D8D69-BFE4-45E8-BBF8-A29EAE9EEB48}" uniqueName="5" name="NetLiquidation" queryTableFieldId="5"/>
    <tableColumn id="6" xr3:uid="{24C6A37F-FDD5-4380-99A2-A07FA88C7DB4}" uniqueName="6" name="UnrealizedPnL" queryTableFieldId="6"/>
    <tableColumn id="7" xr3:uid="{F9CD5D9D-B0A5-41EF-B7E6-793C3A85D405}" uniqueName="7" name="RealizedPnL" queryTableFieldId="7"/>
    <tableColumn id="8" xr3:uid="{45CBC39F-B1AA-4851-A6E6-74271DBB460E}" uniqueName="8" name="GrossPositionValue" queryTableFieldId="8"/>
    <tableColumn id="9" xr3:uid="{899DE265-7458-44D1-B080-6FDCCFA7ACC2}" uniqueName="9" name="AvailableFunds" queryTableFieldId="9"/>
    <tableColumn id="10" xr3:uid="{649743F8-2BAF-4F08-9FB9-DDD04DD6D688}" uniqueName="10" name="ExcessLiquidity" queryTableFieldId="10"/>
    <tableColumn id="11" xr3:uid="{7C915CD0-426A-4419-AF95-357F3AC2CDD1}" uniqueName="11" name="BuyingPower" queryTableFieldId="11"/>
    <tableColumn id="12" xr3:uid="{1DC5B44D-39C5-44F7-B00C-3FD0A5357E51}" uniqueName="12" name="Leverage" queryTableFieldId="12"/>
    <tableColumn id="13" xr3:uid="{B32DA5FF-579E-4D7F-A46D-29275D0F42B7}" uniqueName="13" name="EquityWithLoanValue" queryTableFieldId="13"/>
    <tableColumn id="14" xr3:uid="{4DA473B5-D3EA-4949-8B37-F3D21444BAD5}" uniqueName="14" name="QQQ position" queryTableFieldId="14"/>
    <tableColumn id="15" xr3:uid="{C85AA795-2E61-4079-8563-A91787DD4257}" uniqueName="15" name="QQQ marketPrice" queryTableFieldId="15"/>
    <tableColumn id="16" xr3:uid="{759A97AA-7E45-4F1D-B85B-81B0015630D9}" uniqueName="16" name="QQQ averageCost" queryTableFieldId="16"/>
    <tableColumn id="17" xr3:uid="{78C01028-C8F1-4489-A63F-32660BE4913C}" uniqueName="17" name="QQQ marketValue" queryTableFieldId="17"/>
    <tableColumn id="18" xr3:uid="{D423DA29-E7F1-4B10-8BD3-950445E7059C}" uniqueName="18" name="QQQ realizedPNL" queryTableFieldId="18"/>
    <tableColumn id="19" xr3:uid="{2BAD8BC7-55B4-4E53-B9B2-F7C96BAB47FB}" uniqueName="19" name="QQQ unrealizedPNL" queryTableFieldId="19"/>
    <tableColumn id="20" xr3:uid="{4C5EA65A-3BFD-4A20-977D-65003BDFA77D}" uniqueName="20" name="QQQ initMarginReq" queryTableFieldId="20" dataDxfId="9"/>
    <tableColumn id="21" xr3:uid="{AAD8570F-0065-4F8F-84AA-8D76CC457F1C}" uniqueName="21" name="QQQ maintMarginReq" queryTableFieldId="21" dataDxfId="8"/>
    <tableColumn id="22" xr3:uid="{79902C27-64B1-4396-8015-96E0A1C35418}" uniqueName="22" name="QQQ costBasis" queryTableFieldId="22" dataDxfId="7"/>
    <tableColumn id="24" xr3:uid="{31EB2163-FB1E-4922-A43E-D49F48FF29E2}" uniqueName="24" name="QQQ action" queryTableFieldId="36" dataDxfId="6"/>
    <tableColumn id="25" xr3:uid="{59C30AB8-4689-4A04-A548-D01D481FA333}" uniqueName="25" name="QQQ totalQuantity" queryTableFieldId="37" dataDxfId="5"/>
    <tableColumn id="26" xr3:uid="{07B8EE85-A044-4F31-8BE1-BE5550C353E4}" uniqueName="26" name="QQQ avgPrice" queryTableFieldId="38" dataDxfId="4"/>
    <tableColumn id="27" xr3:uid="{65F7B96E-BE8E-45B6-B16E-E41AD7F13C82}" uniqueName="27" name="QQQ commission" queryTableFieldId="39" dataDxfId="3"/>
    <tableColumn id="28" xr3:uid="{09E9DB3D-F88F-4EAB-B265-11AEC0F5D29E}" uniqueName="28" name="QQQ transaction_amount" queryTableFieldId="40"/>
    <tableColumn id="29" xr3:uid="{AB055FB2-3C4D-4A42-9885-D0977C73DF7A}" uniqueName="29" name="Column1" queryTableFieldId="41" dataDxfId="2"/>
    <tableColumn id="30" xr3:uid="{5F33C7E8-F0F8-4D5E-9F40-82FD74447A7C}" uniqueName="30" name="_1" queryTableFieldId="42" dataDxfId="1"/>
    <tableColumn id="31" xr3:uid="{B4A49545-290A-454B-AA5F-2848FEA1443F}" uniqueName="31" name="_2" queryTableFieldId="43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78A980-24A6-46F8-B4F8-78DD557E5866}">
  <sheetPr codeName="Sheet1"/>
  <dimension ref="A1:AF62"/>
  <sheetViews>
    <sheetView tabSelected="1" topLeftCell="A6" zoomScale="115" zoomScaleNormal="115" workbookViewId="0">
      <selection activeCell="N53" sqref="N53"/>
    </sheetView>
  </sheetViews>
  <sheetFormatPr defaultRowHeight="15.45" x14ac:dyDescent="0.4"/>
  <cols>
    <col min="1" max="1" width="9.4140625" bestFit="1" customWidth="1"/>
    <col min="2" max="2" width="9.1640625" bestFit="1" customWidth="1"/>
    <col min="3" max="3" width="8.4140625" bestFit="1" customWidth="1"/>
    <col min="4" max="4" width="13.08203125" bestFit="1" customWidth="1"/>
    <col min="5" max="5" width="18.58203125" bestFit="1" customWidth="1"/>
    <col min="6" max="6" width="15.5" bestFit="1" customWidth="1"/>
    <col min="7" max="7" width="17.75" bestFit="1" customWidth="1"/>
    <col min="8" max="8" width="17.58203125" bestFit="1" customWidth="1"/>
    <col min="9" max="9" width="15.5" bestFit="1" customWidth="1"/>
    <col min="10" max="10" width="22.1640625" bestFit="1" customWidth="1"/>
    <col min="11" max="11" width="18.25" bestFit="1" customWidth="1"/>
    <col min="12" max="12" width="18.58203125" bestFit="1" customWidth="1"/>
    <col min="13" max="13" width="16.08203125" bestFit="1" customWidth="1"/>
    <col min="14" max="14" width="12.5" bestFit="1" customWidth="1"/>
    <col min="15" max="15" width="24.75" bestFit="1" customWidth="1"/>
    <col min="16" max="16" width="16.6640625" bestFit="1" customWidth="1"/>
    <col min="17" max="17" width="20.58203125" bestFit="1" customWidth="1"/>
    <col min="18" max="18" width="20.6640625" bestFit="1" customWidth="1"/>
    <col min="19" max="19" width="21.25" bestFit="1" customWidth="1"/>
    <col min="20" max="20" width="21.08203125" bestFit="1" customWidth="1"/>
    <col min="21" max="21" width="23.4140625" bestFit="1" customWidth="1"/>
    <col min="22" max="22" width="23" bestFit="1" customWidth="1"/>
    <col min="23" max="23" width="25.08203125" bestFit="1" customWidth="1"/>
    <col min="24" max="24" width="17.9140625" bestFit="1" customWidth="1"/>
    <col min="25" max="25" width="14.83203125" bestFit="1" customWidth="1"/>
    <col min="26" max="26" width="21.75" bestFit="1" customWidth="1"/>
    <col min="27" max="27" width="17.33203125" bestFit="1" customWidth="1"/>
    <col min="28" max="28" width="20.33203125" bestFit="1" customWidth="1"/>
    <col min="29" max="29" width="27.75" bestFit="1" customWidth="1"/>
    <col min="30" max="30" width="11.83203125" bestFit="1" customWidth="1"/>
    <col min="31" max="31" width="7.4140625" bestFit="1" customWidth="1"/>
    <col min="32" max="32" width="9.4140625" bestFit="1" customWidth="1"/>
    <col min="33" max="33" width="17.9140625" bestFit="1" customWidth="1"/>
    <col min="34" max="34" width="15.9140625" bestFit="1" customWidth="1"/>
    <col min="35" max="35" width="19.83203125" bestFit="1" customWidth="1"/>
    <col min="36" max="36" width="19.9140625" bestFit="1" customWidth="1"/>
    <col min="37" max="37" width="20.58203125" bestFit="1" customWidth="1"/>
    <col min="38" max="38" width="20.4140625" bestFit="1" customWidth="1"/>
    <col min="39" max="39" width="22.6640625" bestFit="1" customWidth="1"/>
    <col min="40" max="40" width="22.25" bestFit="1" customWidth="1"/>
    <col min="41" max="41" width="24.4140625" bestFit="1" customWidth="1"/>
    <col min="42" max="42" width="17.1640625" customWidth="1"/>
  </cols>
  <sheetData>
    <row r="1" spans="1:32" x14ac:dyDescent="0.4">
      <c r="A1" t="s">
        <v>23</v>
      </c>
      <c r="B1" t="s">
        <v>32</v>
      </c>
      <c r="C1" t="s">
        <v>33</v>
      </c>
      <c r="D1" t="s">
        <v>0</v>
      </c>
      <c r="E1" t="s">
        <v>1</v>
      </c>
      <c r="F1" t="s">
        <v>2</v>
      </c>
      <c r="G1" t="s">
        <v>3</v>
      </c>
      <c r="H1" t="s">
        <v>4</v>
      </c>
      <c r="I1" t="s">
        <v>5</v>
      </c>
      <c r="J1" t="s">
        <v>6</v>
      </c>
      <c r="K1" t="s">
        <v>7</v>
      </c>
      <c r="L1" t="s">
        <v>8</v>
      </c>
      <c r="M1" t="s">
        <v>9</v>
      </c>
      <c r="N1" t="s">
        <v>10</v>
      </c>
      <c r="O1" t="s">
        <v>11</v>
      </c>
      <c r="P1" t="s">
        <v>12</v>
      </c>
      <c r="Q1" t="s">
        <v>13</v>
      </c>
      <c r="R1" t="s">
        <v>14</v>
      </c>
      <c r="S1" t="s">
        <v>15</v>
      </c>
      <c r="T1" t="s">
        <v>16</v>
      </c>
      <c r="U1" t="s">
        <v>17</v>
      </c>
      <c r="V1" t="s">
        <v>18</v>
      </c>
      <c r="W1" t="s">
        <v>19</v>
      </c>
      <c r="X1" t="s">
        <v>20</v>
      </c>
      <c r="Y1" t="s">
        <v>24</v>
      </c>
      <c r="Z1" t="s">
        <v>25</v>
      </c>
      <c r="AA1" t="s">
        <v>26</v>
      </c>
      <c r="AB1" t="s">
        <v>27</v>
      </c>
      <c r="AC1" t="s">
        <v>28</v>
      </c>
      <c r="AD1" t="s">
        <v>29</v>
      </c>
      <c r="AE1" t="s">
        <v>30</v>
      </c>
      <c r="AF1" t="s">
        <v>31</v>
      </c>
    </row>
    <row r="2" spans="1:32" x14ac:dyDescent="0.4">
      <c r="A2" s="2">
        <v>44592</v>
      </c>
      <c r="B2" s="1">
        <v>0.90209490740740739</v>
      </c>
      <c r="C2" s="1">
        <v>0.56876157407407413</v>
      </c>
      <c r="D2">
        <v>1643636341.477046</v>
      </c>
      <c r="E2">
        <v>-7343893.9165896904</v>
      </c>
      <c r="F2">
        <v>0</v>
      </c>
      <c r="G2">
        <v>1188293.3030000001</v>
      </c>
      <c r="H2">
        <v>-13927.72</v>
      </c>
      <c r="I2">
        <v>225182</v>
      </c>
      <c r="J2">
        <v>8532187.2142897192</v>
      </c>
      <c r="K2">
        <v>226475.49098514504</v>
      </c>
      <c r="L2">
        <v>313913.47341377079</v>
      </c>
      <c r="M2">
        <v>1509836.6091326815</v>
      </c>
      <c r="N2">
        <v>0.92085224901296625</v>
      </c>
      <c r="O2">
        <v>1188293.2977000279</v>
      </c>
      <c r="Q2">
        <v>12091</v>
      </c>
      <c r="R2">
        <v>352.76998900000001</v>
      </c>
      <c r="S2">
        <v>353.49199570000002</v>
      </c>
      <c r="T2">
        <v>4265342</v>
      </c>
      <c r="U2">
        <v>227133.87</v>
      </c>
      <c r="V2" s="4">
        <v>-8729.7800000000007</v>
      </c>
      <c r="W2" s="4"/>
      <c r="X2" s="4"/>
      <c r="Y2" s="4" t="s">
        <v>21</v>
      </c>
      <c r="Z2" s="4" t="s">
        <v>21</v>
      </c>
      <c r="AA2" s="4" t="s">
        <v>35</v>
      </c>
      <c r="AB2" s="4" t="s">
        <v>36</v>
      </c>
      <c r="AC2">
        <v>441.73748940000002</v>
      </c>
      <c r="AD2" s="4" t="s">
        <v>37</v>
      </c>
      <c r="AE2" s="4" t="s">
        <v>34</v>
      </c>
      <c r="AF2" s="4" t="s">
        <v>38</v>
      </c>
    </row>
    <row r="3" spans="1:32" x14ac:dyDescent="0.4">
      <c r="A3" s="2">
        <v>44592</v>
      </c>
      <c r="B3" s="1">
        <v>0.9032175925925926</v>
      </c>
      <c r="C3" s="1">
        <v>0.56988425925925923</v>
      </c>
      <c r="D3">
        <v>1643636438.889667</v>
      </c>
      <c r="E3">
        <v>-7343893.8908731034</v>
      </c>
      <c r="F3">
        <v>0</v>
      </c>
      <c r="G3">
        <v>1185278.8015999999</v>
      </c>
      <c r="H3">
        <v>-16942.23</v>
      </c>
      <c r="I3">
        <v>225182</v>
      </c>
      <c r="J3">
        <v>8529172.6828604639</v>
      </c>
      <c r="K3">
        <v>223421.13917466922</v>
      </c>
      <c r="L3">
        <v>310898.97178074112</v>
      </c>
      <c r="M3">
        <v>1489474.2568893954</v>
      </c>
      <c r="N3">
        <v>0.92341430077876407</v>
      </c>
      <c r="O3">
        <v>1185238.9415302018</v>
      </c>
      <c r="Q3">
        <v>12091</v>
      </c>
      <c r="R3">
        <v>352.70999145000002</v>
      </c>
      <c r="S3">
        <v>353.49199570000002</v>
      </c>
      <c r="T3">
        <v>4264617</v>
      </c>
      <c r="U3">
        <v>227133.87</v>
      </c>
      <c r="V3" s="4">
        <v>-9455.2099999999991</v>
      </c>
      <c r="W3" s="4"/>
      <c r="X3" s="4"/>
      <c r="Y3" s="4" t="s">
        <v>21</v>
      </c>
      <c r="Z3" s="4" t="s">
        <v>21</v>
      </c>
      <c r="AA3" s="4" t="s">
        <v>35</v>
      </c>
      <c r="AB3" s="4" t="s">
        <v>39</v>
      </c>
      <c r="AC3">
        <v>441.73748940000002</v>
      </c>
      <c r="AD3" s="4" t="s">
        <v>40</v>
      </c>
      <c r="AE3" s="4" t="s">
        <v>34</v>
      </c>
      <c r="AF3" s="4" t="s">
        <v>41</v>
      </c>
    </row>
    <row r="4" spans="1:32" x14ac:dyDescent="0.4">
      <c r="A4" s="2">
        <v>44592</v>
      </c>
      <c r="B4" s="1">
        <v>0.90435185185185185</v>
      </c>
      <c r="C4" s="1">
        <v>0.57101851851851848</v>
      </c>
      <c r="D4">
        <v>1643636536.280719</v>
      </c>
      <c r="E4">
        <v>-7343893.8908731034</v>
      </c>
      <c r="F4">
        <v>0</v>
      </c>
      <c r="G4">
        <v>1185278.8015999999</v>
      </c>
      <c r="H4">
        <v>-16942.23</v>
      </c>
      <c r="I4">
        <v>225182</v>
      </c>
      <c r="J4">
        <v>8529172.6828604639</v>
      </c>
      <c r="K4">
        <v>223421.13917466922</v>
      </c>
      <c r="L4">
        <v>310898.97178074112</v>
      </c>
      <c r="M4">
        <v>1489474.2568893954</v>
      </c>
      <c r="N4">
        <v>0.92341430077876407</v>
      </c>
      <c r="O4">
        <v>1185238.9415302018</v>
      </c>
      <c r="Q4">
        <v>12091</v>
      </c>
      <c r="R4">
        <v>352.70999145000002</v>
      </c>
      <c r="S4">
        <v>353.49199570000002</v>
      </c>
      <c r="T4">
        <v>4264617</v>
      </c>
      <c r="U4">
        <v>227133.87</v>
      </c>
      <c r="V4" s="4">
        <v>-9455.2099999999991</v>
      </c>
      <c r="W4" s="4"/>
      <c r="X4" s="4"/>
      <c r="Y4" s="4" t="s">
        <v>21</v>
      </c>
      <c r="Z4" s="4" t="s">
        <v>21</v>
      </c>
      <c r="AA4" s="4" t="s">
        <v>35</v>
      </c>
      <c r="AB4" s="4" t="s">
        <v>39</v>
      </c>
      <c r="AC4">
        <v>441.73748940000002</v>
      </c>
      <c r="AD4" s="4" t="s">
        <v>40</v>
      </c>
      <c r="AE4" s="4" t="s">
        <v>34</v>
      </c>
      <c r="AF4" s="4" t="s">
        <v>41</v>
      </c>
    </row>
    <row r="5" spans="1:32" x14ac:dyDescent="0.4">
      <c r="A5" s="2">
        <v>44592</v>
      </c>
      <c r="B5" s="1">
        <v>0.90547453703703706</v>
      </c>
      <c r="C5" s="1">
        <v>0.57214120370370369</v>
      </c>
      <c r="D5">
        <v>1643636633.913538</v>
      </c>
      <c r="E5">
        <v>-7343893.984874377</v>
      </c>
      <c r="F5">
        <v>0</v>
      </c>
      <c r="G5">
        <v>1181437.6671</v>
      </c>
      <c r="H5">
        <v>-20783.36</v>
      </c>
      <c r="I5">
        <v>225182</v>
      </c>
      <c r="J5">
        <v>8525331.6563650779</v>
      </c>
      <c r="K5">
        <v>219619.85784073564</v>
      </c>
      <c r="L5">
        <v>307057.84089982347</v>
      </c>
      <c r="M5">
        <v>1464132.3830399222</v>
      </c>
      <c r="N5">
        <v>0.92595857007424243</v>
      </c>
      <c r="O5">
        <v>1181437.6727731924</v>
      </c>
      <c r="Q5">
        <v>12091</v>
      </c>
      <c r="R5">
        <v>352.57000729999999</v>
      </c>
      <c r="S5">
        <v>353.49199570000002</v>
      </c>
      <c r="T5">
        <v>4262924</v>
      </c>
      <c r="U5">
        <v>227133.87</v>
      </c>
      <c r="V5" s="4">
        <v>-11147.76</v>
      </c>
      <c r="W5" s="4"/>
      <c r="X5" s="4"/>
      <c r="Y5" s="4" t="s">
        <v>21</v>
      </c>
      <c r="Z5" s="4" t="s">
        <v>21</v>
      </c>
      <c r="AA5" s="4" t="s">
        <v>35</v>
      </c>
      <c r="AB5" s="4" t="s">
        <v>42</v>
      </c>
      <c r="AC5">
        <v>441.73748940000002</v>
      </c>
      <c r="AD5" s="4" t="s">
        <v>43</v>
      </c>
      <c r="AE5" s="4" t="s">
        <v>34</v>
      </c>
      <c r="AF5" s="4" t="s">
        <v>44</v>
      </c>
    </row>
    <row r="6" spans="1:32" x14ac:dyDescent="0.4">
      <c r="A6" s="2">
        <v>44592</v>
      </c>
      <c r="B6" s="1">
        <v>0.90660879629629632</v>
      </c>
      <c r="C6" s="1">
        <v>0.57327546296296295</v>
      </c>
      <c r="D6">
        <v>1643636731.3349681</v>
      </c>
      <c r="E6">
        <v>-7343893.984874377</v>
      </c>
      <c r="F6">
        <v>0</v>
      </c>
      <c r="G6">
        <v>1181437.6671</v>
      </c>
      <c r="H6">
        <v>-20783.36</v>
      </c>
      <c r="I6">
        <v>225182</v>
      </c>
      <c r="J6">
        <v>8525331.6563650779</v>
      </c>
      <c r="K6">
        <v>219619.85784073564</v>
      </c>
      <c r="L6">
        <v>307057.84089982347</v>
      </c>
      <c r="M6">
        <v>1464132.3830399222</v>
      </c>
      <c r="N6">
        <v>0.92595857007424243</v>
      </c>
      <c r="O6">
        <v>1181437.6727731924</v>
      </c>
      <c r="Q6">
        <v>12091</v>
      </c>
      <c r="R6">
        <v>352.57000729999999</v>
      </c>
      <c r="S6">
        <v>353.49199570000002</v>
      </c>
      <c r="T6">
        <v>4262924</v>
      </c>
      <c r="U6">
        <v>227133.87</v>
      </c>
      <c r="V6" s="4">
        <v>-11147.76</v>
      </c>
      <c r="W6" s="4"/>
      <c r="X6" s="4"/>
      <c r="Y6" s="4" t="s">
        <v>21</v>
      </c>
      <c r="Z6" s="4" t="s">
        <v>21</v>
      </c>
      <c r="AA6" s="4" t="s">
        <v>35</v>
      </c>
      <c r="AB6" s="4" t="s">
        <v>42</v>
      </c>
      <c r="AC6">
        <v>441.73748940000002</v>
      </c>
      <c r="AD6" s="4" t="s">
        <v>43</v>
      </c>
      <c r="AE6" s="4" t="s">
        <v>34</v>
      </c>
      <c r="AF6" s="4" t="s">
        <v>44</v>
      </c>
    </row>
    <row r="7" spans="1:32" x14ac:dyDescent="0.4">
      <c r="A7" s="2">
        <v>44592</v>
      </c>
      <c r="B7" s="1">
        <v>0.90773148148148153</v>
      </c>
      <c r="C7" s="1">
        <v>0.57439814814814816</v>
      </c>
      <c r="D7">
        <v>1643636828.7885201</v>
      </c>
      <c r="E7">
        <v>-7343893.984874377</v>
      </c>
      <c r="F7">
        <v>0</v>
      </c>
      <c r="G7">
        <v>1184763.1998999999</v>
      </c>
      <c r="H7">
        <v>-17457.830000000002</v>
      </c>
      <c r="I7">
        <v>225182</v>
      </c>
      <c r="J7">
        <v>8528657.1891173292</v>
      </c>
      <c r="K7">
        <v>222945.39059298681</v>
      </c>
      <c r="L7">
        <v>310383.3736520746</v>
      </c>
      <c r="M7">
        <v>1486302.6026707543</v>
      </c>
      <c r="N7">
        <v>0.92339358788567116</v>
      </c>
      <c r="O7">
        <v>1184763.2055254437</v>
      </c>
      <c r="Q7">
        <v>12091</v>
      </c>
      <c r="R7">
        <v>352.70999145000002</v>
      </c>
      <c r="S7">
        <v>353.49199570000002</v>
      </c>
      <c r="T7">
        <v>4264617</v>
      </c>
      <c r="U7">
        <v>227133.87</v>
      </c>
      <c r="V7" s="4">
        <v>-9455.2099999999991</v>
      </c>
      <c r="W7" s="4"/>
      <c r="X7" s="4"/>
      <c r="Y7" s="4" t="s">
        <v>21</v>
      </c>
      <c r="Z7" s="4" t="s">
        <v>21</v>
      </c>
      <c r="AA7" s="4" t="s">
        <v>35</v>
      </c>
      <c r="AB7" s="4" t="s">
        <v>45</v>
      </c>
      <c r="AC7">
        <v>441.73748940000002</v>
      </c>
      <c r="AD7" s="4" t="s">
        <v>46</v>
      </c>
      <c r="AE7" s="4" t="s">
        <v>34</v>
      </c>
      <c r="AF7" s="4" t="s">
        <v>47</v>
      </c>
    </row>
    <row r="8" spans="1:32" x14ac:dyDescent="0.4">
      <c r="A8" s="2">
        <v>44592</v>
      </c>
      <c r="B8" s="1">
        <v>0.90886574074074078</v>
      </c>
      <c r="C8" s="1">
        <v>0.57553240740740741</v>
      </c>
      <c r="D8">
        <v>1643636926.7054751</v>
      </c>
      <c r="E8">
        <v>-7343893.984874377</v>
      </c>
      <c r="F8">
        <v>0</v>
      </c>
      <c r="G8">
        <v>1184763.1998999999</v>
      </c>
      <c r="H8">
        <v>-17457.830000000002</v>
      </c>
      <c r="I8">
        <v>225182</v>
      </c>
      <c r="J8">
        <v>8528657.1891173292</v>
      </c>
      <c r="K8">
        <v>222945.39059298681</v>
      </c>
      <c r="L8">
        <v>310383.3736520746</v>
      </c>
      <c r="M8">
        <v>1486302.6026707543</v>
      </c>
      <c r="N8">
        <v>0.92339358788567116</v>
      </c>
      <c r="O8">
        <v>1184763.2055254437</v>
      </c>
      <c r="Q8">
        <v>12091</v>
      </c>
      <c r="R8">
        <v>352.70999145000002</v>
      </c>
      <c r="S8">
        <v>353.49199570000002</v>
      </c>
      <c r="T8">
        <v>4264617</v>
      </c>
      <c r="U8">
        <v>227133.87</v>
      </c>
      <c r="V8" s="4">
        <v>-9455.2099999999991</v>
      </c>
      <c r="W8" s="4"/>
      <c r="X8" s="4"/>
      <c r="Y8" s="4" t="s">
        <v>21</v>
      </c>
      <c r="Z8" s="4" t="s">
        <v>21</v>
      </c>
      <c r="AA8" s="4" t="s">
        <v>35</v>
      </c>
      <c r="AB8" s="4" t="s">
        <v>45</v>
      </c>
      <c r="AC8">
        <v>441.73748940000002</v>
      </c>
      <c r="AD8" s="4" t="s">
        <v>46</v>
      </c>
      <c r="AE8" s="4" t="s">
        <v>34</v>
      </c>
      <c r="AF8" s="4" t="s">
        <v>47</v>
      </c>
    </row>
    <row r="9" spans="1:32" x14ac:dyDescent="0.4">
      <c r="A9" s="2">
        <v>44592</v>
      </c>
      <c r="B9" s="1">
        <v>0.90998842592592588</v>
      </c>
      <c r="C9" s="1">
        <v>0.57665509259259262</v>
      </c>
      <c r="D9">
        <v>1643637023.8444941</v>
      </c>
      <c r="E9">
        <v>-7343893.984874377</v>
      </c>
      <c r="F9">
        <v>0</v>
      </c>
      <c r="G9">
        <v>1181373.0035999999</v>
      </c>
      <c r="H9">
        <v>-20848.02</v>
      </c>
      <c r="I9">
        <v>225182</v>
      </c>
      <c r="J9">
        <v>8525266.9931641053</v>
      </c>
      <c r="K9">
        <v>219555.19463976179</v>
      </c>
      <c r="L9">
        <v>306993.17769884953</v>
      </c>
      <c r="M9">
        <v>1463701.2941784356</v>
      </c>
      <c r="N9">
        <v>0.92595857007424243</v>
      </c>
      <c r="O9">
        <v>1181373.0082897274</v>
      </c>
      <c r="Q9">
        <v>12091</v>
      </c>
      <c r="R9">
        <v>352.58999634999998</v>
      </c>
      <c r="S9">
        <v>353.49199570000002</v>
      </c>
      <c r="T9">
        <v>4263166</v>
      </c>
      <c r="U9">
        <v>227133.87</v>
      </c>
      <c r="V9" s="4">
        <v>-10906.07</v>
      </c>
      <c r="W9" s="4"/>
      <c r="X9" s="4"/>
      <c r="Y9" s="4" t="s">
        <v>21</v>
      </c>
      <c r="Z9" s="4" t="s">
        <v>21</v>
      </c>
      <c r="AA9" s="4" t="s">
        <v>35</v>
      </c>
      <c r="AB9" s="4" t="s">
        <v>48</v>
      </c>
      <c r="AC9">
        <v>441.73748940000002</v>
      </c>
      <c r="AD9" s="4" t="s">
        <v>49</v>
      </c>
      <c r="AE9" s="4" t="s">
        <v>34</v>
      </c>
      <c r="AF9" s="4" t="s">
        <v>50</v>
      </c>
    </row>
    <row r="10" spans="1:32" x14ac:dyDescent="0.4">
      <c r="A10" s="2">
        <v>44592</v>
      </c>
      <c r="B10" s="1">
        <v>0.91112268518518513</v>
      </c>
      <c r="C10" s="1">
        <v>0.57778935185185187</v>
      </c>
      <c r="D10">
        <v>1643637121.7591</v>
      </c>
      <c r="E10">
        <v>-7343893.954211669</v>
      </c>
      <c r="F10">
        <v>0</v>
      </c>
      <c r="G10">
        <v>1187253.8744999999</v>
      </c>
      <c r="H10">
        <v>-14967.15</v>
      </c>
      <c r="I10">
        <v>225182</v>
      </c>
      <c r="J10">
        <v>8531147.8290797137</v>
      </c>
      <c r="K10">
        <v>225224.26521170867</v>
      </c>
      <c r="L10">
        <v>312874.04638422426</v>
      </c>
      <c r="M10">
        <v>1501495.1005564027</v>
      </c>
      <c r="N10">
        <v>0.92210517200711339</v>
      </c>
      <c r="O10">
        <v>1187042.0753896772</v>
      </c>
      <c r="Q10">
        <v>12091</v>
      </c>
      <c r="R10">
        <v>352.82000729999999</v>
      </c>
      <c r="S10">
        <v>353.49199570000002</v>
      </c>
      <c r="T10">
        <v>4265947</v>
      </c>
      <c r="U10">
        <v>227133.87</v>
      </c>
      <c r="V10" s="4">
        <v>-8125.01</v>
      </c>
      <c r="W10" s="4"/>
      <c r="X10" s="4"/>
      <c r="Y10" s="4" t="s">
        <v>21</v>
      </c>
      <c r="Z10" s="4" t="s">
        <v>21</v>
      </c>
      <c r="AA10" s="4" t="s">
        <v>35</v>
      </c>
      <c r="AB10" s="4" t="s">
        <v>51</v>
      </c>
      <c r="AC10">
        <v>441.73748940000002</v>
      </c>
      <c r="AD10" s="4" t="s">
        <v>52</v>
      </c>
      <c r="AE10" s="4" t="s">
        <v>34</v>
      </c>
      <c r="AF10" s="4" t="s">
        <v>53</v>
      </c>
    </row>
    <row r="11" spans="1:32" x14ac:dyDescent="0.4">
      <c r="A11" s="2">
        <v>44592</v>
      </c>
      <c r="B11" s="1">
        <v>0.9122569444444445</v>
      </c>
      <c r="C11" s="1">
        <v>0.57892361111111112</v>
      </c>
      <c r="D11">
        <v>1643637219.1538861</v>
      </c>
      <c r="E11">
        <v>-7343893.954211669</v>
      </c>
      <c r="F11">
        <v>0</v>
      </c>
      <c r="G11">
        <v>1187253.8744999999</v>
      </c>
      <c r="H11">
        <v>-14967.15</v>
      </c>
      <c r="I11">
        <v>225182</v>
      </c>
      <c r="J11">
        <v>8531147.8290797137</v>
      </c>
      <c r="K11">
        <v>225224.26521170867</v>
      </c>
      <c r="L11">
        <v>312874.04638422426</v>
      </c>
      <c r="M11">
        <v>1501495.1005564027</v>
      </c>
      <c r="N11">
        <v>0.92210517200711339</v>
      </c>
      <c r="O11">
        <v>1187042.0753896772</v>
      </c>
      <c r="Q11">
        <v>12091</v>
      </c>
      <c r="R11">
        <v>352.82000729999999</v>
      </c>
      <c r="S11">
        <v>353.49199570000002</v>
      </c>
      <c r="T11">
        <v>4265947</v>
      </c>
      <c r="U11">
        <v>227133.87</v>
      </c>
      <c r="V11" s="4">
        <v>-8125.01</v>
      </c>
      <c r="W11" s="4"/>
      <c r="X11" s="4"/>
      <c r="Y11" s="4" t="s">
        <v>21</v>
      </c>
      <c r="Z11" s="4" t="s">
        <v>21</v>
      </c>
      <c r="AA11" s="4" t="s">
        <v>35</v>
      </c>
      <c r="AB11" s="4" t="s">
        <v>51</v>
      </c>
      <c r="AC11">
        <v>441.73748940000002</v>
      </c>
      <c r="AD11" s="4" t="s">
        <v>52</v>
      </c>
      <c r="AE11" s="4" t="s">
        <v>34</v>
      </c>
      <c r="AF11" s="4" t="s">
        <v>53</v>
      </c>
    </row>
    <row r="12" spans="1:32" x14ac:dyDescent="0.4">
      <c r="A12" s="2">
        <v>44592</v>
      </c>
      <c r="B12" s="1">
        <v>0.9133796296296296</v>
      </c>
      <c r="C12" s="1">
        <v>0.58004629629629634</v>
      </c>
      <c r="D12">
        <v>1643637316.5705969</v>
      </c>
      <c r="E12">
        <v>-7343893.954211669</v>
      </c>
      <c r="F12">
        <v>0</v>
      </c>
      <c r="G12">
        <v>1185232.7704</v>
      </c>
      <c r="H12">
        <v>-16988.259999999998</v>
      </c>
      <c r="I12">
        <v>225182</v>
      </c>
      <c r="J12">
        <v>8529126.7245931681</v>
      </c>
      <c r="K12">
        <v>223414.96020353105</v>
      </c>
      <c r="L12">
        <v>310852.94318016141</v>
      </c>
      <c r="M12">
        <v>1489433.067168552</v>
      </c>
      <c r="N12">
        <v>0.92338765486108709</v>
      </c>
      <c r="O12">
        <v>1185232.7703814995</v>
      </c>
      <c r="Q12">
        <v>12091</v>
      </c>
      <c r="R12">
        <v>352.77999879999999</v>
      </c>
      <c r="S12">
        <v>353.49199570000002</v>
      </c>
      <c r="T12">
        <v>4265463</v>
      </c>
      <c r="U12">
        <v>227133.87</v>
      </c>
      <c r="V12" s="4">
        <v>-8608.75</v>
      </c>
      <c r="W12" s="4"/>
      <c r="X12" s="4"/>
      <c r="Y12" s="4" t="s">
        <v>21</v>
      </c>
      <c r="Z12" s="4" t="s">
        <v>21</v>
      </c>
      <c r="AA12" s="4" t="s">
        <v>35</v>
      </c>
      <c r="AB12" s="4" t="s">
        <v>54</v>
      </c>
      <c r="AC12">
        <v>441.73748940000002</v>
      </c>
      <c r="AD12" s="4" t="s">
        <v>55</v>
      </c>
      <c r="AE12" s="4" t="s">
        <v>34</v>
      </c>
      <c r="AF12" s="4" t="s">
        <v>56</v>
      </c>
    </row>
    <row r="13" spans="1:32" x14ac:dyDescent="0.4">
      <c r="A13" s="2">
        <v>44592</v>
      </c>
      <c r="B13" s="1">
        <v>0.91451388888888885</v>
      </c>
      <c r="C13" s="1">
        <v>0.58118055555555559</v>
      </c>
      <c r="D13">
        <v>1643637414.357682</v>
      </c>
      <c r="E13">
        <v>-7343893.954211669</v>
      </c>
      <c r="F13">
        <v>0</v>
      </c>
      <c r="G13">
        <v>1185232.7704</v>
      </c>
      <c r="H13">
        <v>-16988.259999999998</v>
      </c>
      <c r="I13">
        <v>225182</v>
      </c>
      <c r="J13">
        <v>8529126.7245931681</v>
      </c>
      <c r="K13">
        <v>223414.96020353105</v>
      </c>
      <c r="L13">
        <v>310852.94318016141</v>
      </c>
      <c r="M13">
        <v>1489433.067168552</v>
      </c>
      <c r="N13">
        <v>0.92338765486108709</v>
      </c>
      <c r="O13">
        <v>1185232.7703814995</v>
      </c>
      <c r="Q13">
        <v>12091</v>
      </c>
      <c r="R13">
        <v>352.77999879999999</v>
      </c>
      <c r="S13">
        <v>353.49199570000002</v>
      </c>
      <c r="T13">
        <v>4265463</v>
      </c>
      <c r="U13">
        <v>227133.87</v>
      </c>
      <c r="V13" s="4">
        <v>-8608.75</v>
      </c>
      <c r="W13" s="4"/>
      <c r="X13" s="4"/>
      <c r="Y13" s="4" t="s">
        <v>21</v>
      </c>
      <c r="Z13" s="4" t="s">
        <v>21</v>
      </c>
      <c r="AA13" s="4" t="s">
        <v>35</v>
      </c>
      <c r="AB13" s="4" t="s">
        <v>54</v>
      </c>
      <c r="AC13">
        <v>441.73748940000002</v>
      </c>
      <c r="AD13" s="4" t="s">
        <v>55</v>
      </c>
      <c r="AE13" s="4" t="s">
        <v>34</v>
      </c>
      <c r="AF13" s="4" t="s">
        <v>56</v>
      </c>
    </row>
    <row r="14" spans="1:32" x14ac:dyDescent="0.4">
      <c r="A14" s="2">
        <v>44592</v>
      </c>
      <c r="B14" s="1">
        <v>0.9156481481481481</v>
      </c>
      <c r="C14" s="1">
        <v>0.58231481481481484</v>
      </c>
      <c r="D14">
        <v>1643637512.04899</v>
      </c>
      <c r="E14">
        <v>-7343893.984874377</v>
      </c>
      <c r="F14">
        <v>0</v>
      </c>
      <c r="G14">
        <v>1188583.1396999999</v>
      </c>
      <c r="H14">
        <v>-13637.89</v>
      </c>
      <c r="I14">
        <v>225182</v>
      </c>
      <c r="J14">
        <v>8532477.1298813745</v>
      </c>
      <c r="K14">
        <v>226677.14213942422</v>
      </c>
      <c r="L14">
        <v>314203.31313362834</v>
      </c>
      <c r="M14">
        <v>1511180.9471686643</v>
      </c>
      <c r="N14">
        <v>0.92082860569709979</v>
      </c>
      <c r="O14">
        <v>1188494.957071881</v>
      </c>
      <c r="Q14">
        <v>12091</v>
      </c>
      <c r="R14">
        <v>352.94000245000001</v>
      </c>
      <c r="S14">
        <v>353.49199570000002</v>
      </c>
      <c r="T14">
        <v>4267398</v>
      </c>
      <c r="U14">
        <v>227133.87</v>
      </c>
      <c r="V14" s="4">
        <v>-6674.15</v>
      </c>
      <c r="W14" s="4"/>
      <c r="X14" s="4"/>
      <c r="Y14" s="4" t="s">
        <v>21</v>
      </c>
      <c r="Z14" s="4" t="s">
        <v>21</v>
      </c>
      <c r="AA14" s="4" t="s">
        <v>35</v>
      </c>
      <c r="AB14" s="4" t="s">
        <v>57</v>
      </c>
      <c r="AC14">
        <v>441.73748940000002</v>
      </c>
      <c r="AD14" s="4" t="s">
        <v>58</v>
      </c>
      <c r="AE14" s="4" t="s">
        <v>34</v>
      </c>
      <c r="AF14" s="4" t="s">
        <v>59</v>
      </c>
    </row>
    <row r="15" spans="1:32" x14ac:dyDescent="0.4">
      <c r="A15" s="2">
        <v>44592</v>
      </c>
      <c r="B15" s="1">
        <v>0.91677083333333331</v>
      </c>
      <c r="C15" s="1">
        <v>0.58343750000000005</v>
      </c>
      <c r="D15">
        <v>1643637609.4772921</v>
      </c>
      <c r="E15">
        <v>-7343893.984874377</v>
      </c>
      <c r="F15">
        <v>0</v>
      </c>
      <c r="G15">
        <v>1188583.1396999999</v>
      </c>
      <c r="H15">
        <v>-13637.89</v>
      </c>
      <c r="I15">
        <v>225182</v>
      </c>
      <c r="J15">
        <v>8532477.1298813745</v>
      </c>
      <c r="K15">
        <v>226677.14213942422</v>
      </c>
      <c r="L15">
        <v>314203.31313362834</v>
      </c>
      <c r="M15">
        <v>1511180.9471686643</v>
      </c>
      <c r="N15">
        <v>0.92082860569709979</v>
      </c>
      <c r="O15">
        <v>1188494.957071881</v>
      </c>
      <c r="Q15">
        <v>12091</v>
      </c>
      <c r="R15">
        <v>352.94000245000001</v>
      </c>
      <c r="S15">
        <v>353.49199570000002</v>
      </c>
      <c r="T15">
        <v>4267398</v>
      </c>
      <c r="U15">
        <v>227133.87</v>
      </c>
      <c r="V15" s="4">
        <v>-6674.15</v>
      </c>
      <c r="W15" s="4"/>
      <c r="X15" s="4"/>
      <c r="Y15" s="4" t="s">
        <v>21</v>
      </c>
      <c r="Z15" s="4" t="s">
        <v>21</v>
      </c>
      <c r="AA15" s="4" t="s">
        <v>35</v>
      </c>
      <c r="AB15" s="4" t="s">
        <v>57</v>
      </c>
      <c r="AC15">
        <v>441.73748940000002</v>
      </c>
      <c r="AD15" s="4" t="s">
        <v>58</v>
      </c>
      <c r="AE15" s="4" t="s">
        <v>34</v>
      </c>
      <c r="AF15" s="4" t="s">
        <v>59</v>
      </c>
    </row>
    <row r="16" spans="1:32" x14ac:dyDescent="0.4">
      <c r="A16" s="2">
        <v>44592</v>
      </c>
      <c r="B16" s="1">
        <v>0.91790509259259256</v>
      </c>
      <c r="C16" s="1">
        <v>0.5845717592592593</v>
      </c>
      <c r="D16">
        <v>1643637707.4028211</v>
      </c>
      <c r="E16">
        <v>-7343893.9456011169</v>
      </c>
      <c r="F16">
        <v>0</v>
      </c>
      <c r="G16">
        <v>1182645.3300999999</v>
      </c>
      <c r="H16">
        <v>-19575.7</v>
      </c>
      <c r="I16">
        <v>225182</v>
      </c>
      <c r="J16">
        <v>8526539.2748641837</v>
      </c>
      <c r="K16">
        <v>220585.83238917546</v>
      </c>
      <c r="L16">
        <v>308265.5019641869</v>
      </c>
      <c r="M16">
        <v>1470572.2150728533</v>
      </c>
      <c r="N16">
        <v>0.92466425581943412</v>
      </c>
      <c r="O16">
        <v>1182403.6417767056</v>
      </c>
      <c r="Q16">
        <v>12091</v>
      </c>
      <c r="R16">
        <v>352.72000120000001</v>
      </c>
      <c r="S16">
        <v>353.49199570000002</v>
      </c>
      <c r="T16">
        <v>4264738</v>
      </c>
      <c r="U16">
        <v>227133.87</v>
      </c>
      <c r="V16" s="4">
        <v>-9334.19</v>
      </c>
      <c r="W16" s="4"/>
      <c r="X16" s="4"/>
      <c r="Y16" s="4" t="s">
        <v>21</v>
      </c>
      <c r="Z16" s="4" t="s">
        <v>21</v>
      </c>
      <c r="AA16" s="4" t="s">
        <v>35</v>
      </c>
      <c r="AB16" s="4" t="s">
        <v>60</v>
      </c>
      <c r="AC16">
        <v>441.73748940000002</v>
      </c>
      <c r="AD16" s="4" t="s">
        <v>61</v>
      </c>
      <c r="AE16" s="4" t="s">
        <v>34</v>
      </c>
      <c r="AF16" s="4" t="s">
        <v>62</v>
      </c>
    </row>
    <row r="17" spans="1:32" x14ac:dyDescent="0.4">
      <c r="A17" s="2">
        <v>44592</v>
      </c>
      <c r="B17" s="1">
        <v>0.91902777777777778</v>
      </c>
      <c r="C17" s="1">
        <v>0.58569444444444441</v>
      </c>
      <c r="D17">
        <v>1643637804.8339789</v>
      </c>
      <c r="E17">
        <v>-7343893.9456011169</v>
      </c>
      <c r="F17">
        <v>0</v>
      </c>
      <c r="G17">
        <v>1182645.3300999999</v>
      </c>
      <c r="H17">
        <v>-19575.7</v>
      </c>
      <c r="I17">
        <v>225182</v>
      </c>
      <c r="J17">
        <v>8526539.2748641837</v>
      </c>
      <c r="K17">
        <v>220585.83238917546</v>
      </c>
      <c r="L17">
        <v>308265.5019641869</v>
      </c>
      <c r="M17">
        <v>1470572.2150728533</v>
      </c>
      <c r="N17">
        <v>0.92466425581943412</v>
      </c>
      <c r="O17">
        <v>1182403.6417767056</v>
      </c>
      <c r="Q17">
        <v>12091</v>
      </c>
      <c r="R17">
        <v>352.72000120000001</v>
      </c>
      <c r="S17">
        <v>353.49199570000002</v>
      </c>
      <c r="T17">
        <v>4264738</v>
      </c>
      <c r="U17">
        <v>227133.87</v>
      </c>
      <c r="V17" s="4">
        <v>-9334.19</v>
      </c>
      <c r="W17" s="4"/>
      <c r="X17" s="4"/>
      <c r="Y17" s="4" t="s">
        <v>21</v>
      </c>
      <c r="Z17" s="4" t="s">
        <v>21</v>
      </c>
      <c r="AA17" s="4" t="s">
        <v>35</v>
      </c>
      <c r="AB17" s="4" t="s">
        <v>60</v>
      </c>
      <c r="AC17">
        <v>441.73748940000002</v>
      </c>
      <c r="AD17" s="4" t="s">
        <v>61</v>
      </c>
      <c r="AE17" s="4" t="s">
        <v>34</v>
      </c>
      <c r="AF17" s="4" t="s">
        <v>62</v>
      </c>
    </row>
    <row r="18" spans="1:32" x14ac:dyDescent="0.4">
      <c r="A18" s="2">
        <v>44592</v>
      </c>
      <c r="B18" s="1">
        <v>0.92016203703703703</v>
      </c>
      <c r="C18" s="1">
        <v>0.58682870370370366</v>
      </c>
      <c r="D18">
        <v>1643637902.4144261</v>
      </c>
      <c r="E18">
        <v>-7343893.9456011169</v>
      </c>
      <c r="F18">
        <v>0</v>
      </c>
      <c r="G18">
        <v>1187959.2006999999</v>
      </c>
      <c r="H18">
        <v>-14261.83</v>
      </c>
      <c r="I18">
        <v>225182</v>
      </c>
      <c r="J18">
        <v>8531853.1459258199</v>
      </c>
      <c r="K18">
        <v>226141.38965469727</v>
      </c>
      <c r="L18">
        <v>313579.37302582257</v>
      </c>
      <c r="M18">
        <v>1507609.2673570896</v>
      </c>
      <c r="N18">
        <v>0.92081683173141982</v>
      </c>
      <c r="O18">
        <v>1187959.2003247021</v>
      </c>
      <c r="Q18">
        <v>12091</v>
      </c>
      <c r="R18">
        <v>352.92999270000001</v>
      </c>
      <c r="S18">
        <v>353.49199570000002</v>
      </c>
      <c r="T18">
        <v>4267277</v>
      </c>
      <c r="U18">
        <v>227133.87</v>
      </c>
      <c r="V18" s="4">
        <v>-6795.18</v>
      </c>
      <c r="W18" s="4"/>
      <c r="X18" s="4"/>
      <c r="Y18" s="4" t="s">
        <v>21</v>
      </c>
      <c r="Z18" s="4" t="s">
        <v>21</v>
      </c>
      <c r="AA18" s="4" t="s">
        <v>35</v>
      </c>
      <c r="AB18" s="4" t="s">
        <v>63</v>
      </c>
      <c r="AC18">
        <v>441.73748940000002</v>
      </c>
      <c r="AD18" s="4" t="s">
        <v>64</v>
      </c>
      <c r="AE18" s="4" t="s">
        <v>34</v>
      </c>
      <c r="AF18" s="4" t="s">
        <v>65</v>
      </c>
    </row>
    <row r="19" spans="1:32" x14ac:dyDescent="0.4">
      <c r="A19" s="2">
        <v>44592</v>
      </c>
      <c r="B19" s="1">
        <v>0.92128472222222224</v>
      </c>
      <c r="C19" s="1">
        <v>0.58795138888888887</v>
      </c>
      <c r="D19">
        <v>1643637999.9623899</v>
      </c>
      <c r="E19">
        <v>-7343893.9456011169</v>
      </c>
      <c r="F19">
        <v>0</v>
      </c>
      <c r="G19">
        <v>1187959.2006999999</v>
      </c>
      <c r="H19">
        <v>-14261.83</v>
      </c>
      <c r="I19">
        <v>225182</v>
      </c>
      <c r="J19">
        <v>8531853.1459258199</v>
      </c>
      <c r="K19">
        <v>226141.38965469727</v>
      </c>
      <c r="L19">
        <v>313579.37302582257</v>
      </c>
      <c r="M19">
        <v>1507609.2673570896</v>
      </c>
      <c r="N19">
        <v>0.92081683173141982</v>
      </c>
      <c r="O19">
        <v>1187959.2003247021</v>
      </c>
      <c r="Q19">
        <v>12091</v>
      </c>
      <c r="R19">
        <v>352.92999270000001</v>
      </c>
      <c r="S19">
        <v>353.49199570000002</v>
      </c>
      <c r="T19">
        <v>4267277</v>
      </c>
      <c r="U19">
        <v>227133.87</v>
      </c>
      <c r="V19" s="4">
        <v>-6795.18</v>
      </c>
      <c r="W19" s="4"/>
      <c r="X19" s="4"/>
      <c r="Y19" s="4" t="s">
        <v>21</v>
      </c>
      <c r="Z19" s="4" t="s">
        <v>21</v>
      </c>
      <c r="AA19" s="4" t="s">
        <v>35</v>
      </c>
      <c r="AB19" s="4" t="s">
        <v>63</v>
      </c>
      <c r="AC19">
        <v>441.73748940000002</v>
      </c>
      <c r="AD19" s="4" t="s">
        <v>64</v>
      </c>
      <c r="AE19" s="4" t="s">
        <v>34</v>
      </c>
      <c r="AF19" s="4" t="s">
        <v>65</v>
      </c>
    </row>
    <row r="20" spans="1:32" x14ac:dyDescent="0.4">
      <c r="A20" s="2">
        <v>44592</v>
      </c>
      <c r="B20" s="1">
        <v>0.92241898148148149</v>
      </c>
      <c r="C20" s="1">
        <v>0.58908564814814812</v>
      </c>
      <c r="D20">
        <v>1643638097.225873</v>
      </c>
      <c r="E20">
        <v>-7343893.954211669</v>
      </c>
      <c r="F20">
        <v>0</v>
      </c>
      <c r="G20">
        <v>1192099.6414000001</v>
      </c>
      <c r="H20">
        <v>-10121.39</v>
      </c>
      <c r="I20">
        <v>225182</v>
      </c>
      <c r="J20">
        <v>8535993.5956397224</v>
      </c>
      <c r="K20">
        <v>230281.83125008529</v>
      </c>
      <c r="L20">
        <v>317719.81422671565</v>
      </c>
      <c r="M20">
        <v>1535212.207051419</v>
      </c>
      <c r="N20">
        <v>0.91825772344519219</v>
      </c>
      <c r="O20">
        <v>1192099.6414280538</v>
      </c>
      <c r="Q20">
        <v>12091</v>
      </c>
      <c r="R20">
        <v>353.11999509999998</v>
      </c>
      <c r="S20">
        <v>353.49199570000002</v>
      </c>
      <c r="T20">
        <v>4269574</v>
      </c>
      <c r="U20">
        <v>227133.87</v>
      </c>
      <c r="V20" s="4">
        <v>-4497.8599999999997</v>
      </c>
      <c r="W20" s="4"/>
      <c r="X20" s="4"/>
      <c r="Y20" s="4" t="s">
        <v>21</v>
      </c>
      <c r="Z20" s="4" t="s">
        <v>21</v>
      </c>
      <c r="AA20" s="4" t="s">
        <v>35</v>
      </c>
      <c r="AB20" s="4" t="s">
        <v>66</v>
      </c>
      <c r="AC20">
        <v>441.73748940000002</v>
      </c>
      <c r="AD20" s="4" t="s">
        <v>67</v>
      </c>
      <c r="AE20" s="4" t="s">
        <v>34</v>
      </c>
      <c r="AF20" s="4" t="s">
        <v>68</v>
      </c>
    </row>
    <row r="21" spans="1:32" x14ac:dyDescent="0.4">
      <c r="A21" s="2">
        <v>44592</v>
      </c>
      <c r="B21" s="1">
        <v>0.92354166666666671</v>
      </c>
      <c r="C21" s="1">
        <v>0.59020833333333333</v>
      </c>
      <c r="D21">
        <v>1643638194.8702569</v>
      </c>
      <c r="E21">
        <v>-7343893.954211669</v>
      </c>
      <c r="F21">
        <v>0</v>
      </c>
      <c r="G21">
        <v>1192099.6414000001</v>
      </c>
      <c r="H21">
        <v>-10121.39</v>
      </c>
      <c r="I21">
        <v>225182</v>
      </c>
      <c r="J21">
        <v>8535993.5956397224</v>
      </c>
      <c r="K21">
        <v>230281.83125008529</v>
      </c>
      <c r="L21">
        <v>317719.81422671565</v>
      </c>
      <c r="M21">
        <v>1535212.207051419</v>
      </c>
      <c r="N21">
        <v>0.91825772344519219</v>
      </c>
      <c r="O21">
        <v>1192099.6414280538</v>
      </c>
      <c r="Q21">
        <v>12091</v>
      </c>
      <c r="R21">
        <v>353.11999509999998</v>
      </c>
      <c r="S21">
        <v>353.49199570000002</v>
      </c>
      <c r="T21">
        <v>4269574</v>
      </c>
      <c r="U21">
        <v>227133.87</v>
      </c>
      <c r="V21" s="4">
        <v>-4497.8599999999997</v>
      </c>
      <c r="W21" s="4"/>
      <c r="X21" s="4"/>
      <c r="Y21" s="4" t="s">
        <v>21</v>
      </c>
      <c r="Z21" s="4" t="s">
        <v>21</v>
      </c>
      <c r="AA21" s="4" t="s">
        <v>35</v>
      </c>
      <c r="AB21" s="4" t="s">
        <v>66</v>
      </c>
      <c r="AC21">
        <v>441.73748940000002</v>
      </c>
      <c r="AD21" s="4" t="s">
        <v>67</v>
      </c>
      <c r="AE21" s="4" t="s">
        <v>34</v>
      </c>
      <c r="AF21" s="4" t="s">
        <v>68</v>
      </c>
    </row>
    <row r="22" spans="1:32" x14ac:dyDescent="0.4">
      <c r="A22" s="2">
        <v>44592</v>
      </c>
      <c r="B22" s="1">
        <v>0.92467592592592596</v>
      </c>
      <c r="C22" s="1">
        <v>0.59134259259259259</v>
      </c>
      <c r="D22">
        <v>1643638292.4875679</v>
      </c>
      <c r="E22">
        <v>-7343893.984874377</v>
      </c>
      <c r="F22">
        <v>0</v>
      </c>
      <c r="G22">
        <v>1192812.3873999999</v>
      </c>
      <c r="H22">
        <v>-9408.64</v>
      </c>
      <c r="I22">
        <v>225182</v>
      </c>
      <c r="J22">
        <v>8536706.3776781596</v>
      </c>
      <c r="K22">
        <v>230777.24436550683</v>
      </c>
      <c r="L22">
        <v>318432.56093041447</v>
      </c>
      <c r="M22">
        <v>1538514.959444233</v>
      </c>
      <c r="N22">
        <v>0.91826362350852864</v>
      </c>
      <c r="O22">
        <v>1192595.0580154725</v>
      </c>
      <c r="Q22">
        <v>12091</v>
      </c>
      <c r="R22">
        <v>353.14999390000003</v>
      </c>
      <c r="S22">
        <v>353.49199570000002</v>
      </c>
      <c r="T22">
        <v>4269937</v>
      </c>
      <c r="U22">
        <v>227133.87</v>
      </c>
      <c r="V22" s="4">
        <v>-4135.1400000000003</v>
      </c>
      <c r="W22" s="4"/>
      <c r="X22" s="4"/>
      <c r="Y22" s="4" t="s">
        <v>21</v>
      </c>
      <c r="Z22" s="4" t="s">
        <v>21</v>
      </c>
      <c r="AA22" s="4" t="s">
        <v>35</v>
      </c>
      <c r="AB22" s="4" t="s">
        <v>69</v>
      </c>
      <c r="AC22">
        <v>441.73748940000002</v>
      </c>
      <c r="AD22" s="4" t="s">
        <v>70</v>
      </c>
      <c r="AE22" s="4" t="s">
        <v>34</v>
      </c>
      <c r="AF22" s="4" t="s">
        <v>71</v>
      </c>
    </row>
    <row r="23" spans="1:32" x14ac:dyDescent="0.4">
      <c r="A23" s="2">
        <v>44592</v>
      </c>
      <c r="B23" s="1">
        <v>0.92579861111111106</v>
      </c>
      <c r="C23" s="1">
        <v>0.5924652777777778</v>
      </c>
      <c r="D23">
        <v>1643638389.929554</v>
      </c>
      <c r="E23">
        <v>-7343893.984874377</v>
      </c>
      <c r="F23">
        <v>0</v>
      </c>
      <c r="G23">
        <v>1189637.0848000001</v>
      </c>
      <c r="H23">
        <v>-12583.94</v>
      </c>
      <c r="I23">
        <v>225182</v>
      </c>
      <c r="J23">
        <v>8533531.0746502019</v>
      </c>
      <c r="K23">
        <v>227819.27484336903</v>
      </c>
      <c r="L23">
        <v>315257.25790245685</v>
      </c>
      <c r="M23">
        <v>1518795.1686149393</v>
      </c>
      <c r="N23">
        <v>0.91954611460281421</v>
      </c>
      <c r="O23">
        <v>1189637.0897758259</v>
      </c>
      <c r="Q23">
        <v>12091</v>
      </c>
      <c r="R23">
        <v>352.98001099999999</v>
      </c>
      <c r="S23">
        <v>353.49199570000002</v>
      </c>
      <c r="T23">
        <v>4267881</v>
      </c>
      <c r="U23">
        <v>227133.87</v>
      </c>
      <c r="V23" s="4">
        <v>-6190.41</v>
      </c>
      <c r="W23" s="4"/>
      <c r="X23" s="4"/>
      <c r="Y23" s="4" t="s">
        <v>21</v>
      </c>
      <c r="Z23" s="4" t="s">
        <v>21</v>
      </c>
      <c r="AA23" s="4" t="s">
        <v>35</v>
      </c>
      <c r="AB23" s="4" t="s">
        <v>72</v>
      </c>
      <c r="AC23">
        <v>441.73748940000002</v>
      </c>
      <c r="AD23" s="4" t="s">
        <v>73</v>
      </c>
      <c r="AE23" s="4" t="s">
        <v>34</v>
      </c>
      <c r="AF23" s="4" t="s">
        <v>74</v>
      </c>
    </row>
    <row r="24" spans="1:32" x14ac:dyDescent="0.4">
      <c r="A24" s="2">
        <v>44592</v>
      </c>
      <c r="B24" s="1">
        <v>0.92693287037037042</v>
      </c>
      <c r="C24" s="1">
        <v>0.59359953703703705</v>
      </c>
      <c r="D24">
        <v>1643638487.9890931</v>
      </c>
      <c r="E24">
        <v>-7343893.984874377</v>
      </c>
      <c r="F24">
        <v>0</v>
      </c>
      <c r="G24">
        <v>1189637.0848000001</v>
      </c>
      <c r="H24">
        <v>-12583.94</v>
      </c>
      <c r="I24">
        <v>225182</v>
      </c>
      <c r="J24">
        <v>8533531.0746502019</v>
      </c>
      <c r="K24">
        <v>227819.27484336903</v>
      </c>
      <c r="L24">
        <v>315257.25790245685</v>
      </c>
      <c r="M24">
        <v>1518795.1686149393</v>
      </c>
      <c r="N24">
        <v>0.91954611460281421</v>
      </c>
      <c r="O24">
        <v>1189637.0897758259</v>
      </c>
      <c r="Q24">
        <v>12091</v>
      </c>
      <c r="R24">
        <v>352.98001099999999</v>
      </c>
      <c r="S24">
        <v>353.49199570000002</v>
      </c>
      <c r="T24">
        <v>4267881</v>
      </c>
      <c r="U24">
        <v>227133.87</v>
      </c>
      <c r="V24" s="4">
        <v>-6190.41</v>
      </c>
      <c r="W24" s="4"/>
      <c r="X24" s="4"/>
      <c r="Y24" s="4" t="s">
        <v>21</v>
      </c>
      <c r="Z24" s="4" t="s">
        <v>21</v>
      </c>
      <c r="AA24" s="4" t="s">
        <v>35</v>
      </c>
      <c r="AB24" s="4" t="s">
        <v>72</v>
      </c>
      <c r="AC24">
        <v>441.73748940000002</v>
      </c>
      <c r="AD24" s="4" t="s">
        <v>73</v>
      </c>
      <c r="AE24" s="4" t="s">
        <v>34</v>
      </c>
      <c r="AF24" s="4" t="s">
        <v>74</v>
      </c>
    </row>
    <row r="25" spans="1:32" x14ac:dyDescent="0.4">
      <c r="A25" s="2">
        <v>44592</v>
      </c>
      <c r="B25" s="1">
        <v>0.92807870370370371</v>
      </c>
      <c r="C25" s="1">
        <v>0.59474537037037034</v>
      </c>
      <c r="D25">
        <v>1643638586.0062139</v>
      </c>
      <c r="E25">
        <v>-7343893.954211669</v>
      </c>
      <c r="F25">
        <v>0</v>
      </c>
      <c r="G25">
        <v>1181266.1483</v>
      </c>
      <c r="H25">
        <v>-20954.88</v>
      </c>
      <c r="I25">
        <v>225182</v>
      </c>
      <c r="J25">
        <v>8525160.1025945246</v>
      </c>
      <c r="K25">
        <v>219367.16088767923</v>
      </c>
      <c r="L25">
        <v>306886.32118151762</v>
      </c>
      <c r="M25">
        <v>1462447.7362587349</v>
      </c>
      <c r="N25">
        <v>0.92595262056903449</v>
      </c>
      <c r="O25">
        <v>1181184.9710656479</v>
      </c>
      <c r="Q25">
        <v>12091</v>
      </c>
      <c r="R25">
        <v>352.5499878</v>
      </c>
      <c r="S25">
        <v>353.49199570000002</v>
      </c>
      <c r="T25">
        <v>4262682</v>
      </c>
      <c r="U25">
        <v>227133.87</v>
      </c>
      <c r="V25" s="4">
        <v>-11389.82</v>
      </c>
      <c r="W25" s="4"/>
      <c r="X25" s="4"/>
      <c r="Y25" s="4" t="s">
        <v>21</v>
      </c>
      <c r="Z25" s="4" t="s">
        <v>21</v>
      </c>
      <c r="AA25" s="4" t="s">
        <v>35</v>
      </c>
      <c r="AB25" s="4" t="s">
        <v>75</v>
      </c>
      <c r="AC25">
        <v>441.73748940000002</v>
      </c>
      <c r="AD25" s="4" t="s">
        <v>76</v>
      </c>
      <c r="AE25" s="4" t="s">
        <v>34</v>
      </c>
      <c r="AF25" s="4" t="s">
        <v>77</v>
      </c>
    </row>
    <row r="26" spans="1:32" x14ac:dyDescent="0.4">
      <c r="A26" s="2">
        <v>44592</v>
      </c>
      <c r="B26" s="1">
        <v>0.92920138888888892</v>
      </c>
      <c r="C26" s="1">
        <v>0.59586805555555555</v>
      </c>
      <c r="D26">
        <v>1643638683.5660219</v>
      </c>
      <c r="E26">
        <v>-7343893.954211669</v>
      </c>
      <c r="F26">
        <v>0</v>
      </c>
      <c r="G26">
        <v>1181266.1483</v>
      </c>
      <c r="H26">
        <v>-20954.88</v>
      </c>
      <c r="I26">
        <v>225182</v>
      </c>
      <c r="J26">
        <v>8525160.1025945246</v>
      </c>
      <c r="K26">
        <v>219367.16088767923</v>
      </c>
      <c r="L26">
        <v>306886.32118151762</v>
      </c>
      <c r="M26">
        <v>1462447.7362587349</v>
      </c>
      <c r="N26">
        <v>0.92595262056903449</v>
      </c>
      <c r="O26">
        <v>1181184.9710656479</v>
      </c>
      <c r="Q26">
        <v>12091</v>
      </c>
      <c r="R26">
        <v>352.5499878</v>
      </c>
      <c r="S26">
        <v>353.49199570000002</v>
      </c>
      <c r="T26">
        <v>4262682</v>
      </c>
      <c r="U26">
        <v>227133.87</v>
      </c>
      <c r="V26" s="4">
        <v>-11389.82</v>
      </c>
      <c r="W26" s="4"/>
      <c r="X26" s="4"/>
      <c r="Y26" s="4" t="s">
        <v>21</v>
      </c>
      <c r="Z26" s="4" t="s">
        <v>21</v>
      </c>
      <c r="AA26" s="4" t="s">
        <v>35</v>
      </c>
      <c r="AB26" s="4" t="s">
        <v>75</v>
      </c>
      <c r="AC26">
        <v>441.73748940000002</v>
      </c>
      <c r="AD26" s="4" t="s">
        <v>76</v>
      </c>
      <c r="AE26" s="4" t="s">
        <v>34</v>
      </c>
      <c r="AF26" s="4" t="s">
        <v>77</v>
      </c>
    </row>
    <row r="27" spans="1:32" x14ac:dyDescent="0.4">
      <c r="A27" s="2">
        <v>44592</v>
      </c>
      <c r="B27" s="1">
        <v>0.93033564814814818</v>
      </c>
      <c r="C27" s="1">
        <v>0.59700231481481481</v>
      </c>
      <c r="D27">
        <v>1643638781.2279539</v>
      </c>
      <c r="E27">
        <v>-7343893.984874377</v>
      </c>
      <c r="F27">
        <v>0</v>
      </c>
      <c r="G27">
        <v>1185498.3987</v>
      </c>
      <c r="H27">
        <v>-16722.63</v>
      </c>
      <c r="I27">
        <v>225182</v>
      </c>
      <c r="J27">
        <v>8529392.3886795491</v>
      </c>
      <c r="K27">
        <v>223680.58887271481</v>
      </c>
      <c r="L27">
        <v>311118.57193180261</v>
      </c>
      <c r="M27">
        <v>1491203.92710059</v>
      </c>
      <c r="N27">
        <v>0.92211109679138559</v>
      </c>
      <c r="O27">
        <v>1185498.4038051716</v>
      </c>
      <c r="Q27">
        <v>12091</v>
      </c>
      <c r="R27">
        <v>352.75</v>
      </c>
      <c r="S27">
        <v>353.49199570000002</v>
      </c>
      <c r="T27">
        <v>4265100</v>
      </c>
      <c r="U27">
        <v>227133.87</v>
      </c>
      <c r="V27" s="4">
        <v>-8971.4699999999993</v>
      </c>
      <c r="W27" s="4"/>
      <c r="X27" s="4"/>
      <c r="Y27" s="4" t="s">
        <v>21</v>
      </c>
      <c r="Z27" s="4" t="s">
        <v>21</v>
      </c>
      <c r="AA27" s="4" t="s">
        <v>35</v>
      </c>
      <c r="AB27" s="4" t="s">
        <v>78</v>
      </c>
      <c r="AC27">
        <v>441.73748940000002</v>
      </c>
      <c r="AD27" s="4" t="s">
        <v>79</v>
      </c>
      <c r="AE27" s="4" t="s">
        <v>34</v>
      </c>
      <c r="AF27" s="4" t="s">
        <v>80</v>
      </c>
    </row>
    <row r="28" spans="1:32" x14ac:dyDescent="0.4">
      <c r="A28" s="2">
        <v>44592</v>
      </c>
      <c r="B28" s="1">
        <v>0.93145833333333339</v>
      </c>
      <c r="C28" s="1">
        <v>0.59812500000000002</v>
      </c>
      <c r="D28">
        <v>1643638878.8189771</v>
      </c>
      <c r="E28">
        <v>-7343893.984874377</v>
      </c>
      <c r="F28">
        <v>0</v>
      </c>
      <c r="G28">
        <v>1185498.3987</v>
      </c>
      <c r="H28">
        <v>-16722.63</v>
      </c>
      <c r="I28">
        <v>225182</v>
      </c>
      <c r="J28">
        <v>8529392.3886795491</v>
      </c>
      <c r="K28">
        <v>223680.58887271481</v>
      </c>
      <c r="L28">
        <v>311118.57193180261</v>
      </c>
      <c r="M28">
        <v>1491203.92710059</v>
      </c>
      <c r="N28">
        <v>0.92211109679138559</v>
      </c>
      <c r="O28">
        <v>1185498.4038051716</v>
      </c>
      <c r="Q28">
        <v>12091</v>
      </c>
      <c r="R28">
        <v>352.75</v>
      </c>
      <c r="S28">
        <v>353.49199570000002</v>
      </c>
      <c r="T28">
        <v>4265100</v>
      </c>
      <c r="U28">
        <v>227133.87</v>
      </c>
      <c r="V28" s="4">
        <v>-8971.4699999999993</v>
      </c>
      <c r="W28" s="4"/>
      <c r="X28" s="4"/>
      <c r="Y28" s="4" t="s">
        <v>21</v>
      </c>
      <c r="Z28" s="4" t="s">
        <v>21</v>
      </c>
      <c r="AA28" s="4" t="s">
        <v>35</v>
      </c>
      <c r="AB28" s="4" t="s">
        <v>78</v>
      </c>
      <c r="AC28">
        <v>441.73748940000002</v>
      </c>
      <c r="AD28" s="4" t="s">
        <v>79</v>
      </c>
      <c r="AE28" s="4" t="s">
        <v>34</v>
      </c>
      <c r="AF28" s="4" t="s">
        <v>80</v>
      </c>
    </row>
    <row r="29" spans="1:32" x14ac:dyDescent="0.4">
      <c r="A29" s="2">
        <v>44592</v>
      </c>
      <c r="B29" s="1">
        <v>0.93259259259259264</v>
      </c>
      <c r="C29" s="1">
        <v>0.59925925925925927</v>
      </c>
      <c r="D29">
        <v>1643638976.835649</v>
      </c>
      <c r="E29">
        <v>-7343893.984874377</v>
      </c>
      <c r="F29">
        <v>0</v>
      </c>
      <c r="G29">
        <v>1176763.6214000001</v>
      </c>
      <c r="H29">
        <v>-25457.41</v>
      </c>
      <c r="I29">
        <v>225182</v>
      </c>
      <c r="J29">
        <v>8520657.6111594979</v>
      </c>
      <c r="K29">
        <v>214945.81135266504</v>
      </c>
      <c r="L29">
        <v>302383.79441175284</v>
      </c>
      <c r="M29">
        <v>1432972.0791044098</v>
      </c>
      <c r="N29">
        <v>0.9285235522628138</v>
      </c>
      <c r="O29">
        <v>1176763.6262851218</v>
      </c>
      <c r="Q29">
        <v>12091</v>
      </c>
      <c r="R29">
        <v>352.38000490000002</v>
      </c>
      <c r="S29">
        <v>353.49199570000002</v>
      </c>
      <c r="T29">
        <v>4260627</v>
      </c>
      <c r="U29">
        <v>227133.87</v>
      </c>
      <c r="V29" s="4">
        <v>-13445.08</v>
      </c>
      <c r="W29" s="4"/>
      <c r="X29" s="4"/>
      <c r="Y29" s="4" t="s">
        <v>21</v>
      </c>
      <c r="Z29" s="4" t="s">
        <v>21</v>
      </c>
      <c r="AA29" s="4" t="s">
        <v>35</v>
      </c>
      <c r="AB29" s="4" t="s">
        <v>81</v>
      </c>
      <c r="AC29">
        <v>441.73748940000002</v>
      </c>
      <c r="AD29" s="4" t="s">
        <v>82</v>
      </c>
      <c r="AE29" s="4" t="s">
        <v>34</v>
      </c>
      <c r="AF29" s="4" t="s">
        <v>83</v>
      </c>
    </row>
    <row r="30" spans="1:32" x14ac:dyDescent="0.4">
      <c r="A30" s="2">
        <v>44592</v>
      </c>
      <c r="B30" s="1">
        <v>0.93372685185185189</v>
      </c>
      <c r="C30" s="1">
        <v>0.60039351851851852</v>
      </c>
      <c r="D30">
        <v>1643639074.2623341</v>
      </c>
      <c r="E30">
        <v>-7343893.984874377</v>
      </c>
      <c r="F30">
        <v>0</v>
      </c>
      <c r="G30">
        <v>1176763.6214000001</v>
      </c>
      <c r="H30">
        <v>-25457.41</v>
      </c>
      <c r="I30">
        <v>225182</v>
      </c>
      <c r="J30">
        <v>8520657.6111594979</v>
      </c>
      <c r="K30">
        <v>214945.81135266504</v>
      </c>
      <c r="L30">
        <v>302383.79441175284</v>
      </c>
      <c r="M30">
        <v>1432972.0791044098</v>
      </c>
      <c r="N30">
        <v>0.9285235522628138</v>
      </c>
      <c r="O30">
        <v>1176763.6262851218</v>
      </c>
      <c r="Q30">
        <v>12091</v>
      </c>
      <c r="R30">
        <v>352.38000490000002</v>
      </c>
      <c r="S30">
        <v>353.49199570000002</v>
      </c>
      <c r="T30">
        <v>4260627</v>
      </c>
      <c r="U30">
        <v>227133.87</v>
      </c>
      <c r="V30" s="4">
        <v>-13445.08</v>
      </c>
      <c r="W30" s="4"/>
      <c r="X30" s="4"/>
      <c r="Y30" s="4" t="s">
        <v>21</v>
      </c>
      <c r="Z30" s="4" t="s">
        <v>21</v>
      </c>
      <c r="AA30" s="4" t="s">
        <v>35</v>
      </c>
      <c r="AB30" s="4" t="s">
        <v>81</v>
      </c>
      <c r="AC30">
        <v>441.73748940000002</v>
      </c>
      <c r="AD30" s="4" t="s">
        <v>82</v>
      </c>
      <c r="AE30" s="4" t="s">
        <v>34</v>
      </c>
      <c r="AF30" s="4" t="s">
        <v>83</v>
      </c>
    </row>
    <row r="31" spans="1:32" x14ac:dyDescent="0.4">
      <c r="A31" s="2">
        <v>44592</v>
      </c>
      <c r="B31" s="1">
        <v>0.93486111111111114</v>
      </c>
      <c r="C31" s="1">
        <v>0.60152777777777777</v>
      </c>
      <c r="D31">
        <v>1643639172.404829</v>
      </c>
      <c r="E31">
        <v>-7343893.984874377</v>
      </c>
      <c r="F31">
        <v>0</v>
      </c>
      <c r="G31">
        <v>1179892.0325</v>
      </c>
      <c r="H31">
        <v>-22329</v>
      </c>
      <c r="I31">
        <v>225182</v>
      </c>
      <c r="J31">
        <v>8523786.0224655755</v>
      </c>
      <c r="K31">
        <v>218074.22265874231</v>
      </c>
      <c r="L31">
        <v>305512.2057178301</v>
      </c>
      <c r="M31">
        <v>1453828.153195767</v>
      </c>
      <c r="N31">
        <v>0.92595857007424243</v>
      </c>
      <c r="O31">
        <v>1179892.0375911992</v>
      </c>
      <c r="Q31">
        <v>12091</v>
      </c>
      <c r="R31">
        <v>352.5</v>
      </c>
      <c r="S31">
        <v>353.49199570000002</v>
      </c>
      <c r="T31">
        <v>4262078</v>
      </c>
      <c r="U31">
        <v>227133.87</v>
      </c>
      <c r="V31" s="4">
        <v>-11994.22</v>
      </c>
      <c r="W31" s="4"/>
      <c r="X31" s="4"/>
      <c r="Y31" s="4" t="s">
        <v>21</v>
      </c>
      <c r="Z31" s="4" t="s">
        <v>21</v>
      </c>
      <c r="AA31" s="4" t="s">
        <v>35</v>
      </c>
      <c r="AB31" s="4" t="s">
        <v>84</v>
      </c>
      <c r="AC31">
        <v>441.73748940000002</v>
      </c>
      <c r="AD31" s="4" t="s">
        <v>85</v>
      </c>
      <c r="AE31" s="4" t="s">
        <v>34</v>
      </c>
      <c r="AF31" s="4" t="s">
        <v>86</v>
      </c>
    </row>
    <row r="53" spans="1:14" x14ac:dyDescent="0.4">
      <c r="N53" s="6"/>
    </row>
    <row r="61" spans="1:14" x14ac:dyDescent="0.4">
      <c r="B61" s="5"/>
    </row>
    <row r="62" spans="1:14" x14ac:dyDescent="0.4">
      <c r="A62" t="s">
        <v>22</v>
      </c>
      <c r="B62" s="3">
        <f ca="1">NOW()</f>
        <v>44598.685675578701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  <drawing r:id="rId2"/>
  <tableParts count="1">
    <tablePart r:id="rId3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1D2CF3C-971B-4329-8160-60FF9EB09012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real_time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2022-01-16T15:01:51Z</dcterms:created>
  <dcterms:modified xsi:type="dcterms:W3CDTF">2022-02-06T08:27:22Z</dcterms:modified>
</cp:coreProperties>
</file>